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5"/>
    <sheet state="visible" name="Quest" sheetId="2" r:id="rId6"/>
    <sheet state="visible" name="Explore" sheetId="3" r:id="rId7"/>
    <sheet state="visible" name="Material" sheetId="4" r:id="rId8"/>
    <sheet state="visible" name="Chara Data" sheetId="5" r:id="rId9"/>
  </sheets>
  <definedNames/>
  <calcPr/>
</workbook>
</file>

<file path=xl/sharedStrings.xml><?xml version="1.0" encoding="utf-8"?>
<sst xmlns="http://schemas.openxmlformats.org/spreadsheetml/2006/main" count="1803" uniqueCount="806">
  <si>
    <t>Archon Quest</t>
  </si>
  <si>
    <t>Teyvat Place</t>
  </si>
  <si>
    <t>Region</t>
  </si>
  <si>
    <t>Perkiraan Jumlah Daerah</t>
  </si>
  <si>
    <t>Harga Joki Per Daerah (IDR)</t>
  </si>
  <si>
    <t>Perkiraan Harga Paket Full Region (IDR)</t>
  </si>
  <si>
    <t>harga per %</t>
  </si>
  <si>
    <t>Location</t>
  </si>
  <si>
    <t>Price</t>
  </si>
  <si>
    <t>Title</t>
  </si>
  <si>
    <t>Full price</t>
  </si>
  <si>
    <t>harga fix per daerah</t>
  </si>
  <si>
    <t>Full paket</t>
  </si>
  <si>
    <t>jumlah daerah fix</t>
  </si>
  <si>
    <t>Mondstadt</t>
  </si>
  <si>
    <t>harga paket full fix</t>
  </si>
  <si>
    <t>Prolog Bag | : Pengembara yang menangkap angin</t>
  </si>
  <si>
    <t>Windwail Highland</t>
  </si>
  <si>
    <t>20.000 – 40.000</t>
  </si>
  <si>
    <t>80.000 – 150.000</t>
  </si>
  <si>
    <t>Prolog Bag || : Demi hari esok tanpa air mata</t>
  </si>
  <si>
    <t>Prolog Bag ||| : Lagu naga dan kebebasan</t>
  </si>
  <si>
    <t>Starfell Valley</t>
  </si>
  <si>
    <t>Liyue</t>
  </si>
  <si>
    <t>Windcry Hill</t>
  </si>
  <si>
    <t>Chapter 1 ; Bag | : Negeri melayang di antara beribu batu</t>
  </si>
  <si>
    <t>Brightcrown Mountain</t>
  </si>
  <si>
    <t>Windrest Peak</t>
  </si>
  <si>
    <t>Dragonspine</t>
  </si>
  <si>
    <t>Temple of Space</t>
  </si>
  <si>
    <t>Chapter 1 ; Bag || : Sampai jumpa, master masa lampau</t>
  </si>
  <si>
    <t>Chapter 1 ; Bag ||| : Bintang baru yang mendekat</t>
  </si>
  <si>
    <t>Chapter 1 ; Bag IV (Pendahuluan) : Dainsleif</t>
  </si>
  <si>
    <t>Tipe</t>
  </si>
  <si>
    <t>Chapter 1 ; Bag IV : Kita akan bertemu lagi</t>
  </si>
  <si>
    <t>Inazuma</t>
  </si>
  <si>
    <t>20.000 – 45.000</t>
  </si>
  <si>
    <t>100.000 – 180.000</t>
  </si>
  <si>
    <t>Bishui Plain</t>
  </si>
  <si>
    <t>Chapter 2 ; (Pendahuluan) : Daun merah di musim gugur</t>
  </si>
  <si>
    <t xml:space="preserve">Material </t>
  </si>
  <si>
    <t>6 – 8</t>
  </si>
  <si>
    <t>25.000 – 50.000</t>
  </si>
  <si>
    <t>150.000 – 300.000</t>
  </si>
  <si>
    <t>Unit</t>
  </si>
  <si>
    <t>Qty Chara</t>
  </si>
  <si>
    <t>Maks order</t>
  </si>
  <si>
    <t>Sumeru</t>
  </si>
  <si>
    <t>25.000 – 55.000</t>
  </si>
  <si>
    <t>160.000 – 300.000</t>
  </si>
  <si>
    <t>Chapter 2 ; Bag | : Dewa kekal dan tanah keabadian</t>
  </si>
  <si>
    <t>Price 1 chara ascend material</t>
  </si>
  <si>
    <t>Open world</t>
  </si>
  <si>
    <t>Chapter 2 ; Bag || : Kekosongan pikiran, kemusnahan bayangan</t>
  </si>
  <si>
    <t>Chapter 2 ; Bag ||| : Sang Mahahadir di dunia fana</t>
  </si>
  <si>
    <t>Fontaine</t>
  </si>
  <si>
    <t>5 – 7</t>
  </si>
  <si>
    <t>Per item</t>
  </si>
  <si>
    <t>125.000 – 250.000</t>
  </si>
  <si>
    <t>Chapter 2 ; Bag IV : Lagu yang bergema di dasar jurang</t>
  </si>
  <si>
    <t>Chapter 3 ; Bag | : Melewati tirai asap dan hutan kelam</t>
  </si>
  <si>
    <t>Natlan</t>
  </si>
  <si>
    <t>4 – 6</t>
  </si>
  <si>
    <t>25.000 – 56.000</t>
  </si>
  <si>
    <t>100.000 – 200.000</t>
  </si>
  <si>
    <t>Nod Krai</t>
  </si>
  <si>
    <t>-</t>
  </si>
  <si>
    <t>30.000 – 70.000</t>
  </si>
  <si>
    <t>Qiongji Estuary</t>
  </si>
  <si>
    <t>Sea of Clouds</t>
  </si>
  <si>
    <t>Chapter 3 ; Bag || : Fajar seribu mawar</t>
  </si>
  <si>
    <t>Local Specialties</t>
  </si>
  <si>
    <t>Sneznahya</t>
  </si>
  <si>
    <t>Lisha</t>
  </si>
  <si>
    <t>Chapter 3 ; Bag ||| : Mimpi, Kekosongan, Dan muslihat</t>
  </si>
  <si>
    <t>fix per region per daerah</t>
  </si>
  <si>
    <t>Chasm</t>
  </si>
  <si>
    <t>Chapter 3 ; Bag IV : Raja tanah merah dan Tiga peziarah</t>
  </si>
  <si>
    <t>tentuaken harga per daerah</t>
  </si>
  <si>
    <t xml:space="preserve">Valberry </t>
  </si>
  <si>
    <t>Chapter 3 ; Bag V : Akasha berdetak, Api kalpa bergelora</t>
  </si>
  <si>
    <t>/ daerah tmp</t>
  </si>
  <si>
    <t>Minlin</t>
  </si>
  <si>
    <t>Chapter 3 ; Bag VI : Caribert</t>
  </si>
  <si>
    <t>Chenyu vale: Southern Mountain</t>
  </si>
  <si>
    <t>Chenyu vale: Upper Vale</t>
  </si>
  <si>
    <t>Chapter 4 ; Bag | : Pendahuluan kabut putih dan ombak hitam</t>
  </si>
  <si>
    <t>Mt. Laixin</t>
  </si>
  <si>
    <t>The Chasm: Underground Mines</t>
  </si>
  <si>
    <t>Narukami Island</t>
  </si>
  <si>
    <t>Chapter 4 ; Bag || : Bagai rintik hujan, Turun tanpa sebab</t>
  </si>
  <si>
    <t>Chapter 4 ; Bag ||| : Bintang yang bersinar di kedalaman</t>
  </si>
  <si>
    <t>Chapter 4 ; Bag IV : Percepat bencana alam</t>
  </si>
  <si>
    <t>Chapter 4 ; Bag V : Penyamaran sang pendosa</t>
  </si>
  <si>
    <t>Chapter 4 ; Bag VI : Dongeng sebelum tidur</t>
  </si>
  <si>
    <t>Kannazuka</t>
  </si>
  <si>
    <t>Chapter 5 ; Bag | : Kembang megah dalam perjalanan terik Sang surya</t>
  </si>
  <si>
    <t>Yashiroi Island</t>
  </si>
  <si>
    <t>Watatsumi Island</t>
  </si>
  <si>
    <t>Seirai Island</t>
  </si>
  <si>
    <t>tsurumi Island</t>
  </si>
  <si>
    <t>tt</t>
  </si>
  <si>
    <t>Enkanomiya</t>
  </si>
  <si>
    <t>Chapter 5 ; Bag || : Bebatuan hitam di bawah timbunan bebatuan putih</t>
  </si>
  <si>
    <t>Juenyun chili</t>
  </si>
  <si>
    <t>Chapter 5 ; Bag ||| : Di balik asap dan cermin</t>
  </si>
  <si>
    <t>Avidya Forest</t>
  </si>
  <si>
    <t>Chapter 5 ; Bag IV : Pelangi dalam kobaran takdir</t>
  </si>
  <si>
    <t>Chapter 5 ; Bag V (Interlude) : Api semesta menjadi satu</t>
  </si>
  <si>
    <t>Chapter 5 ; Bag V : Syair kebangkitan yang membara</t>
  </si>
  <si>
    <t>Chapter 5 ; Bag VI : Ruang, Waktu, Dan dirimu</t>
  </si>
  <si>
    <t>Calla lily</t>
  </si>
  <si>
    <t>Nod-Krai</t>
  </si>
  <si>
    <t>Senandung Bulan Hampa ; (Pendahuluan) : Perjalanan pulang</t>
  </si>
  <si>
    <t>Lokapala Jungle</t>
  </si>
  <si>
    <t>Qingxin</t>
  </si>
  <si>
    <t>Visuddha Field</t>
  </si>
  <si>
    <t>Vanarana</t>
  </si>
  <si>
    <t>Senandung Bulan Hampa ; Bagian | : Tarian ombak salju dan hutan rimbun</t>
  </si>
  <si>
    <t>Ardravi Valley</t>
  </si>
  <si>
    <t>Senandung Bulan Hampa ; Bagian || : Kidung duka abu dan lentera</t>
  </si>
  <si>
    <t>Ashavan Realm</t>
  </si>
  <si>
    <t xml:space="preserve">Lost Nursery </t>
  </si>
  <si>
    <t>Land of Lower Setekh</t>
  </si>
  <si>
    <t>Land of Upper Setekh</t>
  </si>
  <si>
    <t>Small lamp grass</t>
  </si>
  <si>
    <t>Senandung Bulan Hampa ; Bagian ||| : Bangsa yang tak pernah ada</t>
  </si>
  <si>
    <t>Hypostyle Desert</t>
  </si>
  <si>
    <t>Senandung Bulan Hampa ; Bagian IV : Ratapan bagi redupnya rembulan</t>
  </si>
  <si>
    <t>Desert of Hadramaveth</t>
  </si>
  <si>
    <t>Senandung Bulan Hampa ; Bagian V : Puisi malam dari ujung utara</t>
  </si>
  <si>
    <t>Gavireh Lajavard</t>
  </si>
  <si>
    <t>Senandung Bulan Hampa ; Bagian VI : Cahaya rembulan di kabut pagi</t>
  </si>
  <si>
    <t>Violet grass</t>
  </si>
  <si>
    <t>Realm of Farahkhkert</t>
  </si>
  <si>
    <t>Senandung Bulan Hampa ; Bagian VII : seorang pengembara di malam musim dingin</t>
  </si>
  <si>
    <t>Senandung Bulan Hampa ; Bagian VIII : Bulan sejati</t>
  </si>
  <si>
    <t xml:space="preserve">Senandung Bulan Hampa ; Bagian XI : Ketika segala menjadi kosong </t>
  </si>
  <si>
    <t>Beryl Region</t>
  </si>
  <si>
    <t>Senandung Bulan Hampa ; Bagian X : Kebenaran di balik Lembar-lembar Purana</t>
  </si>
  <si>
    <t>Cecilia</t>
  </si>
  <si>
    <t>Snezhnaya</t>
  </si>
  <si>
    <t>Chapter 7 ; Bag | : Negeri salju tanpa kasih</t>
  </si>
  <si>
    <t>Silk flower</t>
  </si>
  <si>
    <t>Dandelion seed</t>
  </si>
  <si>
    <t>Belleau Region</t>
  </si>
  <si>
    <t>Morte Region</t>
  </si>
  <si>
    <t>Chapter 7 ; Bag || : Nyanyian malam sang arwah</t>
  </si>
  <si>
    <t xml:space="preserve">Court of Fontaine Region </t>
  </si>
  <si>
    <t>Chapter 7 ; Bag ||| : Malam putih, Bak terbangun dari mimpi</t>
  </si>
  <si>
    <t>Glaze lily</t>
  </si>
  <si>
    <t>Erinnyes Forest</t>
  </si>
  <si>
    <t>Chapter 7 ; Bag IV : Rekuiem bagi alam baka</t>
  </si>
  <si>
    <t>Liffey Region</t>
  </si>
  <si>
    <t>Note : Untuk setiap Quest world : Rp10,000</t>
  </si>
  <si>
    <t>Fontaine Research Institute of Kinetic Energy Engineering Region</t>
  </si>
  <si>
    <t>Nostoi Region</t>
  </si>
  <si>
    <t>Philanemo mushroom</t>
  </si>
  <si>
    <t>Sea of Bygone Eras</t>
  </si>
  <si>
    <t xml:space="preserve">Natlan </t>
  </si>
  <si>
    <t>Tequemecan Valley</t>
  </si>
  <si>
    <t>Cor lapis</t>
  </si>
  <si>
    <t>Wolfhook</t>
  </si>
  <si>
    <t>Noctilucous jade</t>
  </si>
  <si>
    <t>Coatepec Mountain</t>
  </si>
  <si>
    <t>Toyac Springs</t>
  </si>
  <si>
    <t>Basin of Unnumbered Flames</t>
  </si>
  <si>
    <t>Windwheel aster</t>
  </si>
  <si>
    <t>Tezcatepeconto Range</t>
  </si>
  <si>
    <t>Quahuacan Cliff</t>
  </si>
  <si>
    <t>Atocpan</t>
  </si>
  <si>
    <t>Starconch</t>
  </si>
  <si>
    <t>Ochkanatlan</t>
  </si>
  <si>
    <t xml:space="preserve">Eazybreeze Holiday Resort </t>
  </si>
  <si>
    <t>Ancient Sacred Mountain</t>
  </si>
  <si>
    <t>Sea ganoderma</t>
  </si>
  <si>
    <t>Nod-krai</t>
  </si>
  <si>
    <t>Lempi Isle</t>
  </si>
  <si>
    <t>Onikabuto</t>
  </si>
  <si>
    <t>Naku weed</t>
  </si>
  <si>
    <t>Hiishi Island</t>
  </si>
  <si>
    <t>Dendrobium</t>
  </si>
  <si>
    <t>Paha Isle</t>
  </si>
  <si>
    <t>Voidsea Outlook</t>
  </si>
  <si>
    <t>Sakura bloom</t>
  </si>
  <si>
    <t>Wavechaser Plain</t>
  </si>
  <si>
    <t>Ashveil Peak</t>
  </si>
  <si>
    <t>Dunanna Pit</t>
  </si>
  <si>
    <t>Crystal marrow</t>
  </si>
  <si>
    <t>Frost Moon</t>
  </si>
  <si>
    <t xml:space="preserve">Volkodlak Tundra </t>
  </si>
  <si>
    <t>Sango pearl</t>
  </si>
  <si>
    <t>Amakumo fruit</t>
  </si>
  <si>
    <t>Fellfrost Peak</t>
  </si>
  <si>
    <t>Everfrozen Earth</t>
  </si>
  <si>
    <t>Flamefeather Valley</t>
  </si>
  <si>
    <t>Fluorescent fungus</t>
  </si>
  <si>
    <t>Whith Birch Snowgrave</t>
  </si>
  <si>
    <t>Nilotpala lotus</t>
  </si>
  <si>
    <t>Kalpala lotus</t>
  </si>
  <si>
    <t>Rukkhashava mushroom</t>
  </si>
  <si>
    <t>Padisarah</t>
  </si>
  <si>
    <t>Scarab</t>
  </si>
  <si>
    <t>Hanna berry</t>
  </si>
  <si>
    <t>Sand grease pupa</t>
  </si>
  <si>
    <t>Trishiraite</t>
  </si>
  <si>
    <t>Mourning flower</t>
  </si>
  <si>
    <t>Beryl conch</t>
  </si>
  <si>
    <t>Romaritime flower</t>
  </si>
  <si>
    <t>Lomidouce bell</t>
  </si>
  <si>
    <t>Rainbow rose</t>
  </si>
  <si>
    <t>Lumitoile</t>
  </si>
  <si>
    <t>Subdetection unit</t>
  </si>
  <si>
    <t>Likelight lily</t>
  </si>
  <si>
    <t>Spring of the first dewdrop</t>
  </si>
  <si>
    <t>Clearwater jade</t>
  </si>
  <si>
    <t>Sprayfeather gill</t>
  </si>
  <si>
    <t>Saurian claw Succulent</t>
  </si>
  <si>
    <t>Quenepa berry</t>
  </si>
  <si>
    <t>Brilliant Chrysanthemum</t>
  </si>
  <si>
    <t>Withering purpurbloom</t>
  </si>
  <si>
    <t>Glowing hornshroom</t>
  </si>
  <si>
    <t>Karakter B5</t>
  </si>
  <si>
    <t>Skysplit gembloom</t>
  </si>
  <si>
    <t>Karakter</t>
  </si>
  <si>
    <t>Element</t>
  </si>
  <si>
    <t>Dracolite</t>
  </si>
  <si>
    <t>Weapon</t>
  </si>
  <si>
    <t>Scalling</t>
  </si>
  <si>
    <t>Min CR/CDM</t>
  </si>
  <si>
    <t>Min ER</t>
  </si>
  <si>
    <t>Min EM</t>
  </si>
  <si>
    <t>Min ATK</t>
  </si>
  <si>
    <t>Min HP</t>
  </si>
  <si>
    <t>Portable bearing</t>
  </si>
  <si>
    <t>Min DEF</t>
  </si>
  <si>
    <t>Talent</t>
  </si>
  <si>
    <t>Main stat</t>
  </si>
  <si>
    <t>Frostlamp flower</t>
  </si>
  <si>
    <t>Vodyanitsa</t>
  </si>
  <si>
    <t>Hydro</t>
  </si>
  <si>
    <t>Catalyst</t>
  </si>
  <si>
    <t>Moonfall silver</t>
  </si>
  <si>
    <t>HP</t>
  </si>
  <si>
    <t>50/50</t>
  </si>
  <si>
    <t>Winter icelea</t>
  </si>
  <si>
    <t>55000 - 65000</t>
  </si>
  <si>
    <t>0 - 10 - 0</t>
  </si>
  <si>
    <t>HP - HP - HP</t>
  </si>
  <si>
    <t>Vesna</t>
  </si>
  <si>
    <t>Pine amber</t>
  </si>
  <si>
    <t>Anemo</t>
  </si>
  <si>
    <t>Sword</t>
  </si>
  <si>
    <t>ATK</t>
  </si>
  <si>
    <t>50-64/180-200</t>
  </si>
  <si>
    <t>Ethering moth</t>
  </si>
  <si>
    <t>150% - 170%</t>
  </si>
  <si>
    <t>100+</t>
  </si>
  <si>
    <t>2000+</t>
  </si>
  <si>
    <t>10000+</t>
  </si>
  <si>
    <t>50+</t>
  </si>
  <si>
    <t>0 - 10 - 10</t>
  </si>
  <si>
    <t>ATK - ATK - Crit</t>
  </si>
  <si>
    <t>Frostfairy flower</t>
  </si>
  <si>
    <t>Odette</t>
  </si>
  <si>
    <t>Cryo</t>
  </si>
  <si>
    <t>60-65/150-200</t>
  </si>
  <si>
    <t>Flockingweed</t>
  </si>
  <si>
    <t>100% - 175%</t>
  </si>
  <si>
    <t>0 - 9/10 - 6/8</t>
  </si>
  <si>
    <t>Golden fern</t>
  </si>
  <si>
    <t>Sandrone</t>
  </si>
  <si>
    <t>Claymore</t>
  </si>
  <si>
    <t>65-70/100-135</t>
  </si>
  <si>
    <t>122% - 145%</t>
  </si>
  <si>
    <t>Enemy Material</t>
  </si>
  <si>
    <t>10 - 6/8 - 9</t>
  </si>
  <si>
    <t>Lohen</t>
  </si>
  <si>
    <t>Abyys Mage</t>
  </si>
  <si>
    <t>Polearm</t>
  </si>
  <si>
    <t>60-80/180-200</t>
  </si>
  <si>
    <t>0-200</t>
  </si>
  <si>
    <t>1800+</t>
  </si>
  <si>
    <t>0 - 10 - 8/9</t>
  </si>
  <si>
    <t>ATK - Cryo - Crit</t>
  </si>
  <si>
    <t>Nicole</t>
  </si>
  <si>
    <t>Pyro</t>
  </si>
  <si>
    <t>5-20/5-75</t>
  </si>
  <si>
    <t>175% - 200%</t>
  </si>
  <si>
    <t>0 - 50</t>
  </si>
  <si>
    <t>0 - 10 - 6/9</t>
  </si>
  <si>
    <t>ATK - ATK - ATK</t>
  </si>
  <si>
    <t>Linnea</t>
  </si>
  <si>
    <t>Geo</t>
  </si>
  <si>
    <t>Bow</t>
  </si>
  <si>
    <t>DEF</t>
  </si>
  <si>
    <t>60-90/150-200</t>
  </si>
  <si>
    <t>110% - 170%</t>
  </si>
  <si>
    <t>100 - 200</t>
  </si>
  <si>
    <t>1000+</t>
  </si>
  <si>
    <t>DEF - DEF - Crit</t>
  </si>
  <si>
    <t>Varka</t>
  </si>
  <si>
    <t>claymore</t>
  </si>
  <si>
    <t>70/160</t>
  </si>
  <si>
    <t>100% - 130%</t>
  </si>
  <si>
    <t>0 - 150</t>
  </si>
  <si>
    <t>3000+</t>
  </si>
  <si>
    <t>0 - 10 - 8/10</t>
  </si>
  <si>
    <t>ATK - Anemo - Crit</t>
  </si>
  <si>
    <t>Zibai</t>
  </si>
  <si>
    <t>65-85/150-220</t>
  </si>
  <si>
    <t>Fatui Agent</t>
  </si>
  <si>
    <t>150 -250</t>
  </si>
  <si>
    <t>2200+</t>
  </si>
  <si>
    <t>Columbina</t>
  </si>
  <si>
    <t>Fatui Cincin Mage</t>
  </si>
  <si>
    <t>60-80/160/200</t>
  </si>
  <si>
    <t>160% - 180%</t>
  </si>
  <si>
    <t>150 - 250</t>
  </si>
  <si>
    <t>30000+</t>
  </si>
  <si>
    <t>0/6 - 9/10 - 9/10</t>
  </si>
  <si>
    <t>ER - HP - Crit</t>
  </si>
  <si>
    <t>Durin</t>
  </si>
  <si>
    <t>Ruin Guard</t>
  </si>
  <si>
    <t>70-80/140-160</t>
  </si>
  <si>
    <t>120% - 150%</t>
  </si>
  <si>
    <t>2500+</t>
  </si>
  <si>
    <t>0 - 8/10 - 10</t>
  </si>
  <si>
    <t>ATK - Pyro - Crit</t>
  </si>
  <si>
    <t>Ruin Hunter</t>
  </si>
  <si>
    <t>Nefer</t>
  </si>
  <si>
    <t>Dendro</t>
  </si>
  <si>
    <t>EM</t>
  </si>
  <si>
    <t>45-80/160-190</t>
  </si>
  <si>
    <t>120% - 130%</t>
  </si>
  <si>
    <t>600+</t>
  </si>
  <si>
    <t>900+</t>
  </si>
  <si>
    <t>Whopperflower</t>
  </si>
  <si>
    <t>18000+</t>
  </si>
  <si>
    <t>EM - EM - Crit</t>
  </si>
  <si>
    <t>Flins</t>
  </si>
  <si>
    <t>Geovishap Hatchling</t>
  </si>
  <si>
    <t>Electro</t>
  </si>
  <si>
    <t>45-55/170-200</t>
  </si>
  <si>
    <t>120% - 140%</t>
  </si>
  <si>
    <t>100 - 160+</t>
  </si>
  <si>
    <t>Hilicurl Chieftain</t>
  </si>
  <si>
    <t>0 - 8/9 -10</t>
  </si>
  <si>
    <t>Lauma</t>
  </si>
  <si>
    <t>40-50/100</t>
  </si>
  <si>
    <t>160% - 200%</t>
  </si>
  <si>
    <t>Fatui Skirmisher</t>
  </si>
  <si>
    <t>0 - 9/10 - 8/10</t>
  </si>
  <si>
    <t>EM - EM - EM</t>
  </si>
  <si>
    <t>Ineffa</t>
  </si>
  <si>
    <t>Hilicurl</t>
  </si>
  <si>
    <t>70-80/140-200</t>
  </si>
  <si>
    <t>Hilicurl Shooter</t>
  </si>
  <si>
    <t>Skirk</t>
  </si>
  <si>
    <t>70-80/200</t>
  </si>
  <si>
    <t>2100+</t>
  </si>
  <si>
    <t>Samachurl</t>
  </si>
  <si>
    <t>Escoffier</t>
  </si>
  <si>
    <t>Treasure Hoarder</t>
  </si>
  <si>
    <t>75-85/165-190</t>
  </si>
  <si>
    <t>180% - 200%</t>
  </si>
  <si>
    <t>1650 - 2000+</t>
  </si>
  <si>
    <t>19000+</t>
  </si>
  <si>
    <t>ATk - Cryo - Crit</t>
  </si>
  <si>
    <t>Varesa</t>
  </si>
  <si>
    <t>Slime</t>
  </si>
  <si>
    <t>50-60/180</t>
  </si>
  <si>
    <t>120% - 200%</t>
  </si>
  <si>
    <t>0 - 100</t>
  </si>
  <si>
    <t>10 - 6/8 - 8/10</t>
  </si>
  <si>
    <t>ATK - Electro - Crit</t>
  </si>
  <si>
    <t>Yumemizuki</t>
  </si>
  <si>
    <t>Mitachurl</t>
  </si>
  <si>
    <t>70-80/200-225</t>
  </si>
  <si>
    <t>150% - 180%</t>
  </si>
  <si>
    <t>950 - 1500+</t>
  </si>
  <si>
    <t>17000+</t>
  </si>
  <si>
    <t>EM - EM - EM/Crit</t>
  </si>
  <si>
    <t>Mavuika</t>
  </si>
  <si>
    <t>Ruin Grader</t>
  </si>
  <si>
    <t>40-50/200</t>
  </si>
  <si>
    <t>50-250</t>
  </si>
  <si>
    <t>ATK/EM - Pyro - Crit</t>
  </si>
  <si>
    <t>Citlali</t>
  </si>
  <si>
    <t>Geovishap</t>
  </si>
  <si>
    <t>45/100</t>
  </si>
  <si>
    <t>800 - 1000+</t>
  </si>
  <si>
    <t>800+</t>
  </si>
  <si>
    <t>16000+</t>
  </si>
  <si>
    <t>0 - 8/10 - 6/9</t>
  </si>
  <si>
    <t>EM/ER - EM - EM</t>
  </si>
  <si>
    <t>Chasca</t>
  </si>
  <si>
    <t>55-60/200-270</t>
  </si>
  <si>
    <t>Nobushi</t>
  </si>
  <si>
    <t>80 - 220</t>
  </si>
  <si>
    <t>1900 - 2400</t>
  </si>
  <si>
    <t>Xilonen</t>
  </si>
  <si>
    <t>30-50/50</t>
  </si>
  <si>
    <t>180% - 220%</t>
  </si>
  <si>
    <t>Fatui Mirror Maiden</t>
  </si>
  <si>
    <t>2500 - 3500</t>
  </si>
  <si>
    <t>0 - 10 -6/9</t>
  </si>
  <si>
    <t>DEF - DEF - DEF/Healing Bonus</t>
  </si>
  <si>
    <t>Kinich</t>
  </si>
  <si>
    <t>45-55/180-220</t>
  </si>
  <si>
    <t>Bathysmal Vishap</t>
  </si>
  <si>
    <t>ATK - Dendro - Crit</t>
  </si>
  <si>
    <t>Emilie</t>
  </si>
  <si>
    <t>60-90/195-220</t>
  </si>
  <si>
    <t>130% -150%</t>
  </si>
  <si>
    <t>Ruin Sentinel</t>
  </si>
  <si>
    <t>1900 - 2100+</t>
  </si>
  <si>
    <t>Sigewinne</t>
  </si>
  <si>
    <t>Floating Fungus</t>
  </si>
  <si>
    <t>130% - 150%</t>
  </si>
  <si>
    <t>60000 - 65000</t>
  </si>
  <si>
    <t>0 - 9/10 -6/9</t>
  </si>
  <si>
    <t>Clorinde</t>
  </si>
  <si>
    <t>Specter</t>
  </si>
  <si>
    <t>70-80/160</t>
  </si>
  <si>
    <t>110% - 130%</t>
  </si>
  <si>
    <t>0 - 200</t>
  </si>
  <si>
    <t>1800 - 2000+</t>
  </si>
  <si>
    <t>Arlecchino</t>
  </si>
  <si>
    <t>Wolves Of The Rift</t>
  </si>
  <si>
    <t>2200 - 2500+</t>
  </si>
  <si>
    <t>10 - 6/9 - 1/9</t>
  </si>
  <si>
    <t>Chiori</t>
  </si>
  <si>
    <t>70-80/210-240</t>
  </si>
  <si>
    <t>Abyys Herald</t>
  </si>
  <si>
    <t>1000 - 1300</t>
  </si>
  <si>
    <t>1500 -1900+</t>
  </si>
  <si>
    <t>DEF - Geo - Crit</t>
  </si>
  <si>
    <t>Xianyun</t>
  </si>
  <si>
    <t>Immortal Construct</t>
  </si>
  <si>
    <t>3500 - 4000</t>
  </si>
  <si>
    <t>0 - 6/8 - 6/9</t>
  </si>
  <si>
    <t>ER/ATK - ATK - ATK</t>
  </si>
  <si>
    <t>Navia</t>
  </si>
  <si>
    <t>Ruin Drake</t>
  </si>
  <si>
    <t>60-70/140-160</t>
  </si>
  <si>
    <t>130% -140%</t>
  </si>
  <si>
    <t>8/10 - 10 - 8/9</t>
  </si>
  <si>
    <t>ATK - Geo - Crit</t>
  </si>
  <si>
    <t>Furina</t>
  </si>
  <si>
    <t>Eremite</t>
  </si>
  <si>
    <t>60-80/120-160</t>
  </si>
  <si>
    <t>35000 - 40000</t>
  </si>
  <si>
    <t>0 - 9/10 -9/10</t>
  </si>
  <si>
    <t>HP/ER - HP Crit</t>
  </si>
  <si>
    <t>Wriothesley</t>
  </si>
  <si>
    <t>Primal Construct</t>
  </si>
  <si>
    <t>50-70/160</t>
  </si>
  <si>
    <t>Neuvillette</t>
  </si>
  <si>
    <t>Consecrated Beast</t>
  </si>
  <si>
    <t>50-70/200</t>
  </si>
  <si>
    <t>500+</t>
  </si>
  <si>
    <t>30000 - 40000</t>
  </si>
  <si>
    <t>10 - 6/9 - 6/9</t>
  </si>
  <si>
    <t>HP - Hydro - Crit</t>
  </si>
  <si>
    <t>Lyney</t>
  </si>
  <si>
    <t>Hilicurl Rogue</t>
  </si>
  <si>
    <t>50-80/200</t>
  </si>
  <si>
    <t>100% - 150%</t>
  </si>
  <si>
    <t>2000 - 2400+</t>
  </si>
  <si>
    <t>10 - 8/9 -8/9</t>
  </si>
  <si>
    <t>Baizhu</t>
  </si>
  <si>
    <t>Fontemer Aberrant</t>
  </si>
  <si>
    <t>140% - 200%</t>
  </si>
  <si>
    <t>60 -100</t>
  </si>
  <si>
    <t>0 - 6/9 - 8/10</t>
  </si>
  <si>
    <t>Dehya</t>
  </si>
  <si>
    <t>Clockwork Meka</t>
  </si>
  <si>
    <t>Alhaitham</t>
  </si>
  <si>
    <t>Tainted Hydro Phantasm</t>
  </si>
  <si>
    <t>70-80/190-220</t>
  </si>
  <si>
    <t>120% - 220%</t>
  </si>
  <si>
    <t>300 - 400</t>
  </si>
  <si>
    <t>1200 -1400+</t>
  </si>
  <si>
    <t>8/10 - 10 - 6/9</t>
  </si>
  <si>
    <t>EM/ATK - Dendro - Crit</t>
  </si>
  <si>
    <t>Wanderer</t>
  </si>
  <si>
    <t>80/200</t>
  </si>
  <si>
    <t>Breacher Primus</t>
  </si>
  <si>
    <t>10 - 8/9 - 1/9</t>
  </si>
  <si>
    <t>Nahida</t>
  </si>
  <si>
    <t>50-70/100-160</t>
  </si>
  <si>
    <t>130% - 160%</t>
  </si>
  <si>
    <t>Fatui Operative</t>
  </si>
  <si>
    <t>EM - EM/Dendro - Crit</t>
  </si>
  <si>
    <t>Nilou</t>
  </si>
  <si>
    <t>0 - 600+</t>
  </si>
  <si>
    <t>35000 - 74444</t>
  </si>
  <si>
    <t>Xuanwen Beast</t>
  </si>
  <si>
    <t>Cyno</t>
  </si>
  <si>
    <t>60-80/140-235</t>
  </si>
  <si>
    <t>100 - 500+</t>
  </si>
  <si>
    <t>EM/ATk - Electro - Crit</t>
  </si>
  <si>
    <t>Saurian Natlan</t>
  </si>
  <si>
    <t>Tighnari</t>
  </si>
  <si>
    <t>1500 - 1800+</t>
  </si>
  <si>
    <t>10 - 1/6 - 8/9</t>
  </si>
  <si>
    <t>Yelan</t>
  </si>
  <si>
    <t>Sauroform Tribal Warrior</t>
  </si>
  <si>
    <t>180% - 250%</t>
  </si>
  <si>
    <t>1500+</t>
  </si>
  <si>
    <t>30000 - 35000+</t>
  </si>
  <si>
    <t>0 - 6/9 - 10</t>
  </si>
  <si>
    <t>ER/HP - Hydro - Crit</t>
  </si>
  <si>
    <t>Kamisato Ayato</t>
  </si>
  <si>
    <t>Avatar Of Lava</t>
  </si>
  <si>
    <t>70-80/140-160+</t>
  </si>
  <si>
    <t>120% - 180%</t>
  </si>
  <si>
    <t>0 - 500</t>
  </si>
  <si>
    <t>1900 - 2000+</t>
  </si>
  <si>
    <t>ATK - Hydro - Crit</t>
  </si>
  <si>
    <t>Yae Miko</t>
  </si>
  <si>
    <t>Tenebrous Mimiflora</t>
  </si>
  <si>
    <t>130% - 180%</t>
  </si>
  <si>
    <t>Shenhe</t>
  </si>
  <si>
    <t>Radiant Beast</t>
  </si>
  <si>
    <t>Arataki Itto</t>
  </si>
  <si>
    <t>70-80/140-220</t>
  </si>
  <si>
    <t>15000 - 20000</t>
  </si>
  <si>
    <t>Frostnight Scion</t>
  </si>
  <si>
    <t>Kokomi</t>
  </si>
  <si>
    <t>0/0</t>
  </si>
  <si>
    <t>35000 - 42000</t>
  </si>
  <si>
    <t>Landcruiser</t>
  </si>
  <si>
    <t>HP/ER - HP/Hydro - Healing Bonus</t>
  </si>
  <si>
    <t>Raiden Shogun</t>
  </si>
  <si>
    <t>ER</t>
  </si>
  <si>
    <t>60-80/150-200</t>
  </si>
  <si>
    <t>250% - 270%</t>
  </si>
  <si>
    <t>100 - 800</t>
  </si>
  <si>
    <t>0 - 8/9 - 10</t>
  </si>
  <si>
    <t>ER/ATK - Electro - Crit</t>
  </si>
  <si>
    <t>Fatui Oprichniki</t>
  </si>
  <si>
    <t>Yoimiya</t>
  </si>
  <si>
    <t>10 - 6/9 - 1/6</t>
  </si>
  <si>
    <t>Wasteland Wild Hunt</t>
  </si>
  <si>
    <t>Kamisato Ayaka</t>
  </si>
  <si>
    <t>40-70/200</t>
  </si>
  <si>
    <t>2000 - 2200+</t>
  </si>
  <si>
    <t>Fisher Of Hidden Depths</t>
  </si>
  <si>
    <t>8/10 - 6/8 - 10</t>
  </si>
  <si>
    <t>Kazuha</t>
  </si>
  <si>
    <t>240% - 270%</t>
  </si>
  <si>
    <t>750 - 1000+</t>
  </si>
  <si>
    <t>Domain Keeper</t>
  </si>
  <si>
    <t>1200 - 1500</t>
  </si>
  <si>
    <t>18000 - 22000</t>
  </si>
  <si>
    <t>0 - 6/9 - 6/9</t>
  </si>
  <si>
    <t>Eula</t>
  </si>
  <si>
    <t>Volkodlak Brute</t>
  </si>
  <si>
    <t>60-70/130-155</t>
  </si>
  <si>
    <t>8/10 - 1/6 - 10</t>
  </si>
  <si>
    <t>ATK - Physical - Crit</t>
  </si>
  <si>
    <t>Hu Tao</t>
  </si>
  <si>
    <t>Fae Of Crystalline Flesh</t>
  </si>
  <si>
    <t>70-80/220</t>
  </si>
  <si>
    <t>100% - 120%</t>
  </si>
  <si>
    <t>100 - 300</t>
  </si>
  <si>
    <t>30000 - 35000</t>
  </si>
  <si>
    <t>10 - 10 - 6/10</t>
  </si>
  <si>
    <t>HP/EM - Pyro - Crit</t>
  </si>
  <si>
    <t>Xiao</t>
  </si>
  <si>
    <t>Aberrant Chimeric Monster</t>
  </si>
  <si>
    <t>70-75/190-220</t>
  </si>
  <si>
    <t>2100 - 2300</t>
  </si>
  <si>
    <t>Ganyu</t>
  </si>
  <si>
    <t>35-70/200-250</t>
  </si>
  <si>
    <t>Wildwood Leshy</t>
  </si>
  <si>
    <t>1800 - 2400</t>
  </si>
  <si>
    <t>ATK -Cryo - Crit</t>
  </si>
  <si>
    <t>Albedo</t>
  </si>
  <si>
    <t>60-70/140</t>
  </si>
  <si>
    <t>Secret Source Automaton: Hunter Seeker</t>
  </si>
  <si>
    <t>1500 - 1800</t>
  </si>
  <si>
    <t>2000 - 3000+</t>
  </si>
  <si>
    <t>1/6 - 10 - 6/8</t>
  </si>
  <si>
    <t>Zhongli</t>
  </si>
  <si>
    <t>30-50/140-200</t>
  </si>
  <si>
    <t>900 - 1200</t>
  </si>
  <si>
    <t>45000 - 55000</t>
  </si>
  <si>
    <t>ATK/HP - Geo - Crit</t>
  </si>
  <si>
    <t>Tartaglia</t>
  </si>
  <si>
    <t>70-80/180</t>
  </si>
  <si>
    <t>1800 - 2100</t>
  </si>
  <si>
    <t>6/9 - 20 - 8/9</t>
  </si>
  <si>
    <t>Klee</t>
  </si>
  <si>
    <t>70-80/170-200</t>
  </si>
  <si>
    <t>100 - 400</t>
  </si>
  <si>
    <t>1800 - 2000</t>
  </si>
  <si>
    <t>10 - 8/9 - 6/9</t>
  </si>
  <si>
    <t>Venti</t>
  </si>
  <si>
    <t>50-60/170-190</t>
  </si>
  <si>
    <t>700 - 800+</t>
  </si>
  <si>
    <t>1400 - 1700</t>
  </si>
  <si>
    <t>1/6 - 6/8 - 8/9</t>
  </si>
  <si>
    <t>Keqing</t>
  </si>
  <si>
    <t>70-80/180-220</t>
  </si>
  <si>
    <t>10 - 6/8 - 8/9</t>
  </si>
  <si>
    <t>ATK/EM - Electro - Crit</t>
  </si>
  <si>
    <t>Mona</t>
  </si>
  <si>
    <t>50-60/100-120</t>
  </si>
  <si>
    <t>120% - 300%</t>
  </si>
  <si>
    <t>1500 - 2000</t>
  </si>
  <si>
    <t>1/6 - 6/8 - 8/10</t>
  </si>
  <si>
    <t>ER - Hydro - Crit</t>
  </si>
  <si>
    <t>Qiqi</t>
  </si>
  <si>
    <t>50-60/100-150</t>
  </si>
  <si>
    <t>120% - 250%</t>
  </si>
  <si>
    <t>1800 - 2200</t>
  </si>
  <si>
    <t>1/6 - 6/9 - 6/8</t>
  </si>
  <si>
    <t>ER/ATK - ATK - Healing Bonus</t>
  </si>
  <si>
    <t>Diluc</t>
  </si>
  <si>
    <t>60-75/150-200</t>
  </si>
  <si>
    <t>10 - 10 - 6/8</t>
  </si>
  <si>
    <t>Jean</t>
  </si>
  <si>
    <t>140% - 220&amp;</t>
  </si>
  <si>
    <t>Karakter B4</t>
  </si>
  <si>
    <t xml:space="preserve">Talent </t>
  </si>
  <si>
    <t>Alyosha</t>
  </si>
  <si>
    <t>1 - 9/10 - 8/9</t>
  </si>
  <si>
    <t>Prune</t>
  </si>
  <si>
    <t xml:space="preserve"> Catalyst</t>
  </si>
  <si>
    <t>65/50</t>
  </si>
  <si>
    <t>2500 - 4000</t>
  </si>
  <si>
    <t xml:space="preserve">0 - 10 - 10 </t>
  </si>
  <si>
    <t>Illuga</t>
  </si>
  <si>
    <t>1 - 6/8 - 9/10</t>
  </si>
  <si>
    <t>Jahoda</t>
  </si>
  <si>
    <t>50/100</t>
  </si>
  <si>
    <t>100 = 300</t>
  </si>
  <si>
    <t>0 - 8 - 9</t>
  </si>
  <si>
    <t xml:space="preserve">Aino </t>
  </si>
  <si>
    <t>HP/EM</t>
  </si>
  <si>
    <t xml:space="preserve">0 - 6 - 9 </t>
  </si>
  <si>
    <t>ER - EM - EM</t>
  </si>
  <si>
    <t>Dahlia</t>
  </si>
  <si>
    <t>200% - 250%</t>
  </si>
  <si>
    <t>35000 - 45000</t>
  </si>
  <si>
    <t>1 - 6 - 9</t>
  </si>
  <si>
    <t>HP + HP + HP</t>
  </si>
  <si>
    <t>Ifa</t>
  </si>
  <si>
    <t>60/120</t>
  </si>
  <si>
    <t>120% - 160%</t>
  </si>
  <si>
    <t>600 - 1000</t>
  </si>
  <si>
    <t xml:space="preserve">6 - 9 - 8 </t>
  </si>
  <si>
    <t>EM/ER - EM/Anemo - EM/Crit</t>
  </si>
  <si>
    <t>Iansan</t>
  </si>
  <si>
    <t xml:space="preserve">1 - 6/8 - 9 </t>
  </si>
  <si>
    <t>ATK/ER - ATK - ATK</t>
  </si>
  <si>
    <t xml:space="preserve">Lan Yan </t>
  </si>
  <si>
    <t>150% = 170%</t>
  </si>
  <si>
    <t>2500 - 3000</t>
  </si>
  <si>
    <t>1 - 9 - 6/8</t>
  </si>
  <si>
    <t>Ororon</t>
  </si>
  <si>
    <t>140% - 180%</t>
  </si>
  <si>
    <t xml:space="preserve">1 - 8 - 9 </t>
  </si>
  <si>
    <t>ATK/ER - Electro - Crit</t>
  </si>
  <si>
    <t>Kachina</t>
  </si>
  <si>
    <t>50/120</t>
  </si>
  <si>
    <t>2000 - 2500+</t>
  </si>
  <si>
    <t>1- 9 - 8/9</t>
  </si>
  <si>
    <t>DEF/ER - Geo - Crit</t>
  </si>
  <si>
    <t>Sethos</t>
  </si>
  <si>
    <t>EM/ATK</t>
  </si>
  <si>
    <t>60/150</t>
  </si>
  <si>
    <t>300+</t>
  </si>
  <si>
    <t>8/9 - 6 - 9</t>
  </si>
  <si>
    <t>EM - Electro - Crit</t>
  </si>
  <si>
    <t>Gaming</t>
  </si>
  <si>
    <t>60-80/160</t>
  </si>
  <si>
    <t>ATK/EM -  Pyro - Crit</t>
  </si>
  <si>
    <t>Chevreuse</t>
  </si>
  <si>
    <t>HP/ER - HP - HP/Healing Bonus</t>
  </si>
  <si>
    <t>Charlotte</t>
  </si>
  <si>
    <t>50/200</t>
  </si>
  <si>
    <t>1900 - 2200+</t>
  </si>
  <si>
    <t>1 - 6/8 - 9</t>
  </si>
  <si>
    <t>ATK/ER - ATK - Healing Bonus</t>
  </si>
  <si>
    <t>Freminet</t>
  </si>
  <si>
    <t>60-70/130-160</t>
  </si>
  <si>
    <t>2000 + 2300</t>
  </si>
  <si>
    <t>9 - 9/10 - 6</t>
  </si>
  <si>
    <t>ATK - Physical/Cryo - Crit</t>
  </si>
  <si>
    <t>Lynette</t>
  </si>
  <si>
    <t>50-65/100</t>
  </si>
  <si>
    <t>300 - 600</t>
  </si>
  <si>
    <t>1 - 6/8 - 8/9</t>
  </si>
  <si>
    <t>ER/ATK - Anemo/EM - Crit</t>
  </si>
  <si>
    <t xml:space="preserve">Kirara </t>
  </si>
  <si>
    <t>40000 - 50000</t>
  </si>
  <si>
    <t>HP - HP - HP/Crit</t>
  </si>
  <si>
    <t>Kaveh</t>
  </si>
  <si>
    <t>6 - 8 -9</t>
  </si>
  <si>
    <t>EM/ER - EM - Em</t>
  </si>
  <si>
    <t xml:space="preserve">Mika </t>
  </si>
  <si>
    <t>1 - 9 - 8/9</t>
  </si>
  <si>
    <t>ER/HP - HP - Healing Bonus/Crit</t>
  </si>
  <si>
    <t>Yao Yao</t>
  </si>
  <si>
    <t xml:space="preserve">170% - 200% </t>
  </si>
  <si>
    <t>1 -9 - 9</t>
  </si>
  <si>
    <t>Faruzan</t>
  </si>
  <si>
    <t>250% - 300%</t>
  </si>
  <si>
    <t>1 - 8/9 - 9/10</t>
  </si>
  <si>
    <t>ER - Anemo - Crit</t>
  </si>
  <si>
    <t xml:space="preserve">Layla </t>
  </si>
  <si>
    <t>Candace</t>
  </si>
  <si>
    <t>1 - 8 - 9</t>
  </si>
  <si>
    <t>HP/ER - HP - HP/Crit</t>
  </si>
  <si>
    <t xml:space="preserve">Dori </t>
  </si>
  <si>
    <t>HP/ER - HP/EM - HP/EM/Healing</t>
  </si>
  <si>
    <t>Collei</t>
  </si>
  <si>
    <t>300 - 800</t>
  </si>
  <si>
    <t>ER/EM - Dendro/EM - EM/Crit</t>
  </si>
  <si>
    <t>Heizou</t>
  </si>
  <si>
    <t>60-70/120-160</t>
  </si>
  <si>
    <t>1800 - 2200+</t>
  </si>
  <si>
    <t>6/8 - 9/10 - 8/9</t>
  </si>
  <si>
    <t>ATK/EM - Anemo/EM - Crit</t>
  </si>
  <si>
    <t xml:space="preserve">Kuki Shinobu </t>
  </si>
  <si>
    <t>800 - 1000</t>
  </si>
  <si>
    <t>1 - 9 - 8</t>
  </si>
  <si>
    <t>Yun Jin</t>
  </si>
  <si>
    <t>DEF/ER - DEF - DEF/Crit</t>
  </si>
  <si>
    <t xml:space="preserve">Gorou </t>
  </si>
  <si>
    <t>1400 - 1800</t>
  </si>
  <si>
    <t>ER - Geo/DEF - Crit</t>
  </si>
  <si>
    <t>Thoma</t>
  </si>
  <si>
    <t>1 - 8/9 - 9</t>
  </si>
  <si>
    <t>ER/HP - HP - HP/Crit</t>
  </si>
  <si>
    <t>Kujou Sara</t>
  </si>
  <si>
    <t>1/6 - 9 - 8/9</t>
  </si>
  <si>
    <t>Sayu</t>
  </si>
  <si>
    <t>40-60/50</t>
  </si>
  <si>
    <t>500 - 800</t>
  </si>
  <si>
    <t>ER/EM - EM/ATK - EM/Healing</t>
  </si>
  <si>
    <t xml:space="preserve">Yanfei </t>
  </si>
  <si>
    <t>60/120-140</t>
  </si>
  <si>
    <t>9/10 - 6/8 - 8/9</t>
  </si>
  <si>
    <t>Rosaria</t>
  </si>
  <si>
    <t>1 = 8 = 9</t>
  </si>
  <si>
    <t>ER/ATK - Cryo - Crit</t>
  </si>
  <si>
    <t>Xinyan</t>
  </si>
  <si>
    <t>DEF/ATK/Crit</t>
  </si>
  <si>
    <t>1800 - 2500</t>
  </si>
  <si>
    <t>9 - 8 - 8/9</t>
  </si>
  <si>
    <t>Diona</t>
  </si>
  <si>
    <t>50-60/50</t>
  </si>
  <si>
    <t xml:space="preserve">1 - 9 - 9 </t>
  </si>
  <si>
    <t>Sucrose</t>
  </si>
  <si>
    <t>55/50</t>
  </si>
  <si>
    <t>1 - 6/8 - 6/8</t>
  </si>
  <si>
    <t xml:space="preserve">HP/EM - HP/EM - HP/EM </t>
  </si>
  <si>
    <t>Chongyun</t>
  </si>
  <si>
    <t>60/140</t>
  </si>
  <si>
    <t>6/9 - 8/9 - 9</t>
  </si>
  <si>
    <t>ATK/ER - Cryo - Crit</t>
  </si>
  <si>
    <t>Noelle</t>
  </si>
  <si>
    <t>110% - 245%</t>
  </si>
  <si>
    <t>2000 - 2500</t>
  </si>
  <si>
    <t>9/10 - 8/9 -9/10</t>
  </si>
  <si>
    <t>DEF - Geo -Crit</t>
  </si>
  <si>
    <t>Bennet</t>
  </si>
  <si>
    <t>180% - 230%</t>
  </si>
  <si>
    <t>ER/ATK - Pyro - Crit/HP/Healing</t>
  </si>
  <si>
    <t>Fischl</t>
  </si>
  <si>
    <t>Ningguang</t>
  </si>
  <si>
    <t>8/9 - 6/8 - 9</t>
  </si>
  <si>
    <t>Xingqiu</t>
  </si>
  <si>
    <t>150% - 220%</t>
  </si>
  <si>
    <t>ER/ATK - Hydro - Crit</t>
  </si>
  <si>
    <t>Beidou</t>
  </si>
  <si>
    <t>50-60/120-140</t>
  </si>
  <si>
    <t>140% - 220%</t>
  </si>
  <si>
    <t>1600 - 1900+</t>
  </si>
  <si>
    <t>Xiangling</t>
  </si>
  <si>
    <t>50-70/120-160</t>
  </si>
  <si>
    <t>180% - 260%</t>
  </si>
  <si>
    <t>1/6 - 8 - 9/10</t>
  </si>
  <si>
    <t>ER/ATK - Pyro - Crit</t>
  </si>
  <si>
    <t>Razor</t>
  </si>
  <si>
    <t>75/140-200</t>
  </si>
  <si>
    <t>9/10 - 8 - 9</t>
  </si>
  <si>
    <t>ATK - Physical/Electro - Crit</t>
  </si>
  <si>
    <t>Barbara</t>
  </si>
  <si>
    <t>HP - HP - HP/healing Bonus</t>
  </si>
  <si>
    <t>Lisa</t>
  </si>
  <si>
    <t>160% - 220%</t>
  </si>
  <si>
    <t>300 - 1000</t>
  </si>
  <si>
    <t>Kaeya</t>
  </si>
  <si>
    <t>145% - 285%</t>
  </si>
  <si>
    <t>1700 - 2000+</t>
  </si>
  <si>
    <t>1/6 - 8/9 - 9/10</t>
  </si>
  <si>
    <t>Amber</t>
  </si>
  <si>
    <t>60-80/120-180</t>
  </si>
  <si>
    <t>300 - 500</t>
  </si>
  <si>
    <t>9/10 - 6/8 - 9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</si>
</sst>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p]#,##0"/>
    <numFmt numFmtId="165" formatCode="#,##0.00;(#,##0.00)"/>
  </numFmts>
  <fonts count="17">
    <font>
      <sz val="10.0"/>
      <color rgb="FF000000"/>
      <name val="Arial"/>
      <scheme val="minor"/>
    </font>
    <font>
      <b/>
      <color theme="1"/>
      <name val="FkGroteskNeue"/>
    </font>
    <font>
      <b/>
      <i/>
      <color theme="1"/>
      <name val="Arial"/>
      <scheme val="minor"/>
    </font>
    <font>
      <b/>
      <i/>
      <color rgb="FF000000"/>
      <name val="Arial"/>
      <scheme val="minor"/>
    </font>
    <font>
      <b/>
      <color rgb="FFD9D9D9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FkGroteskNeue"/>
    </font>
    <font>
      <color rgb="FFFFFFFF"/>
      <name val="Arial"/>
      <scheme val="minor"/>
    </font>
    <font>
      <b/>
      <i/>
      <color rgb="FFEFEFEF"/>
      <name val="Arial"/>
      <scheme val="minor"/>
    </font>
    <font>
      <color rgb="FF000000"/>
      <name val="Arial"/>
      <scheme val="minor"/>
    </font>
    <font>
      <b/>
      <color theme="1"/>
      <name val="Arial"/>
    </font>
    <font>
      <color theme="1"/>
      <name val="Arial"/>
    </font>
    <font>
      <i/>
      <color rgb="FFCCCCCC"/>
      <name val="Arial"/>
      <scheme val="minor"/>
    </font>
    <font>
      <b/>
      <color rgb="FFCCCCCC"/>
      <name val="Arial"/>
      <scheme val="minor"/>
    </font>
    <font>
      <sz val="10.0"/>
      <color theme="1"/>
      <name val="Arial"/>
      <scheme val="minor"/>
    </font>
  </fonts>
  <fills count="31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rgb="FFFFFF00"/>
      </patternFill>
    </fill>
    <fill>
      <patternFill patternType="solid">
        <fgColor rgb="FFF1C232"/>
        <bgColor rgb="FFF1C232"/>
      </patternFill>
    </fill>
    <fill>
      <patternFill patternType="solid">
        <fgColor rgb="FF8E7CC3"/>
        <bgColor rgb="FF8E7CC3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BF9000"/>
        <bgColor rgb="FFBF9000"/>
      </patternFill>
    </fill>
    <fill>
      <patternFill patternType="solid">
        <fgColor rgb="FFFFD966"/>
        <bgColor rgb="FFFFD966"/>
      </patternFill>
    </fill>
    <fill>
      <patternFill patternType="solid">
        <fgColor rgb="FF3C78D8"/>
        <bgColor rgb="FF3C78D8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B7B7B7"/>
        <bgColor rgb="FFB7B7B7"/>
      </patternFill>
    </fill>
    <fill>
      <patternFill patternType="solid">
        <fgColor rgb="FFA4C2F4"/>
        <bgColor rgb="FFA4C2F4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CC0000"/>
        <bgColor rgb="FFCC0000"/>
      </patternFill>
    </fill>
    <fill>
      <patternFill patternType="solid">
        <fgColor rgb="FFEA9999"/>
        <bgColor rgb="FFEA9999"/>
      </patternFill>
    </fill>
    <fill>
      <patternFill patternType="solid">
        <fgColor rgb="FFFF0000"/>
        <bgColor rgb="FFFF0000"/>
      </patternFill>
    </fill>
    <fill>
      <patternFill patternType="solid">
        <fgColor rgb="FFCCCCCC"/>
        <bgColor rgb="FFCCCCCC"/>
      </patternFill>
    </fill>
    <fill>
      <patternFill patternType="solid">
        <fgColor rgb="FF9900FF"/>
        <bgColor rgb="FF9900FF"/>
      </patternFill>
    </fill>
    <fill>
      <patternFill patternType="solid">
        <fgColor rgb="FF6FA8DC"/>
        <bgColor rgb="FF6FA8D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top"/>
    </xf>
    <xf borderId="0" fillId="3" fontId="2" numFmtId="0" xfId="0" applyAlignment="1" applyFill="1" applyFont="1">
      <alignment horizontal="center" readingOrder="0" vertical="center"/>
    </xf>
    <xf borderId="0" fillId="3" fontId="3" numFmtId="0" xfId="0" applyAlignment="1" applyFill="1" applyFont="1">
      <alignment horizontal="center" readingOrder="0"/>
    </xf>
    <xf borderId="0" fillId="4" fontId="4" numFmtId="0" xfId="0" applyAlignment="1" applyFill="1" applyFont="1">
      <alignment readingOrder="0"/>
    </xf>
    <xf borderId="0" fillId="4" fontId="5" numFmtId="0" xfId="0" applyAlignment="1" applyFill="1" applyFont="1">
      <alignment readingOrder="0"/>
    </xf>
    <xf borderId="1" fillId="2" fontId="6" numFmtId="0" xfId="0" applyAlignment="1" applyBorder="1" applyFill="1" applyFont="1">
      <alignment readingOrder="0"/>
    </xf>
    <xf borderId="0" fillId="5" fontId="7" numFmtId="0" xfId="0" applyAlignment="1" applyFill="1" applyFont="1">
      <alignment horizontal="left" readingOrder="0" vertical="center"/>
    </xf>
    <xf borderId="1" fillId="0" fontId="8" numFmtId="0" xfId="0" applyAlignment="1" applyBorder="1" applyFont="1">
      <alignment readingOrder="0"/>
    </xf>
    <xf borderId="0" fillId="5" fontId="7" numFmtId="0" xfId="0" applyAlignment="1" applyFill="1" applyFont="1">
      <alignment readingOrder="0"/>
    </xf>
    <xf borderId="0" fillId="5" fontId="7" numFmtId="164" xfId="0" applyAlignment="1" applyFill="1" applyFont="1" applyNumberFormat="1">
      <alignment readingOrder="0"/>
    </xf>
    <xf borderId="0" fillId="5" fontId="7" numFmtId="164" xfId="0" applyAlignment="1" applyFill="1" applyFont="1" applyNumberFormat="1">
      <alignment horizontal="right" readingOrder="0" vertical="center"/>
    </xf>
    <xf borderId="0" fillId="5" fontId="7" numFmtId="164" xfId="0" applyAlignment="1" applyFill="1" applyFont="1" applyNumberFormat="1">
      <alignment horizontal="right" vertical="center"/>
    </xf>
    <xf borderId="1" fillId="6" fontId="7" numFmtId="165" xfId="0" applyAlignment="1" applyBorder="1" applyFill="1" applyFont="1" applyNumberFormat="1">
      <alignment readingOrder="0"/>
    </xf>
    <xf borderId="0" fillId="5" fontId="7" numFmtId="164" xfId="0" applyAlignment="1" applyFill="1" applyFont="1" applyNumberFormat="1">
      <alignment vertical="center"/>
    </xf>
    <xf borderId="0" fillId="7" fontId="7" numFmtId="0" xfId="0" applyAlignment="1" applyFill="1" applyFont="1">
      <alignment horizontal="left" readingOrder="0" vertical="center"/>
    </xf>
    <xf borderId="0" fillId="7" fontId="7" numFmtId="0" xfId="0" applyAlignment="1" applyFill="1" applyFont="1">
      <alignment readingOrder="0"/>
    </xf>
    <xf borderId="0" fillId="0" fontId="2" numFmtId="0" xfId="0" applyAlignment="1" applyFont="1">
      <alignment horizontal="center" readingOrder="0" vertical="center"/>
    </xf>
    <xf borderId="0" fillId="7" fontId="7" numFmtId="164" xfId="0" applyAlignment="1" applyFill="1" applyFont="1" applyNumberFormat="1">
      <alignment readingOrder="0"/>
    </xf>
    <xf borderId="1" fillId="6" fontId="7" numFmtId="165" xfId="0" applyBorder="1" applyFill="1" applyFont="1" applyNumberFormat="1"/>
    <xf borderId="0" fillId="4" fontId="7" numFmtId="0" xfId="0" applyAlignment="1" applyFill="1" applyFont="1">
      <alignment horizontal="left" readingOrder="0" vertical="center"/>
    </xf>
    <xf borderId="1" fillId="6" fontId="7" numFmtId="0" xfId="0" applyAlignment="1" applyBorder="1" applyFill="1" applyFont="1">
      <alignment readingOrder="0"/>
    </xf>
    <xf borderId="0" fillId="7" fontId="7" numFmtId="164" xfId="0" applyAlignment="1" applyFill="1" applyFont="1" applyNumberFormat="1">
      <alignment vertical="center"/>
    </xf>
    <xf borderId="0" fillId="4" fontId="9" numFmtId="0" xfId="0" applyAlignment="1" applyFill="1" applyFont="1">
      <alignment readingOrder="0"/>
    </xf>
    <xf borderId="0" fillId="4" fontId="9" numFmtId="164" xfId="0" applyAlignment="1" applyFill="1" applyFont="1" applyNumberFormat="1">
      <alignment readingOrder="0"/>
    </xf>
    <xf borderId="0" fillId="7" fontId="7" numFmtId="0" xfId="0" applyAlignment="1" applyFill="1" applyFont="1">
      <alignment readingOrder="0" vertical="center"/>
    </xf>
    <xf borderId="0" fillId="4" fontId="10" numFmtId="0" xfId="0" applyAlignment="1" applyFill="1" applyFont="1">
      <alignment horizontal="left" readingOrder="0" shrinkToFit="0" textRotation="0" vertical="center" wrapText="0"/>
    </xf>
    <xf borderId="0" fillId="8" fontId="7" numFmtId="0" xfId="0" applyAlignment="1" applyFill="1" applyFont="1">
      <alignment readingOrder="0" vertical="center"/>
    </xf>
    <xf borderId="0" fillId="8" fontId="7" numFmtId="0" xfId="0" applyAlignment="1" applyFill="1" applyFont="1">
      <alignment readingOrder="0"/>
    </xf>
    <xf borderId="0" fillId="7" fontId="7" numFmtId="164" xfId="0" applyAlignment="1" applyFill="1" applyFont="1" applyNumberFormat="1">
      <alignment readingOrder="0"/>
    </xf>
    <xf borderId="0" fillId="4" fontId="7" numFmtId="0" xfId="0" applyFill="1" applyFont="1"/>
    <xf borderId="0" fillId="8" fontId="7" numFmtId="164" xfId="0" applyAlignment="1" applyFill="1" applyFont="1" applyNumberFormat="1">
      <alignment readingOrder="0"/>
    </xf>
    <xf borderId="0" fillId="8" fontId="7" numFmtId="164" xfId="0" applyAlignment="1" applyFill="1" applyFont="1" applyNumberFormat="1">
      <alignment vertical="center"/>
    </xf>
    <xf borderId="0" fillId="9" fontId="7" numFmtId="0" xfId="0" applyAlignment="1" applyFill="1" applyFont="1">
      <alignment readingOrder="0"/>
    </xf>
    <xf borderId="0" fillId="10" fontId="7" numFmtId="0" xfId="0" applyAlignment="1" applyFill="1" applyFont="1">
      <alignment readingOrder="0" vertical="center"/>
    </xf>
    <xf borderId="0" fillId="10" fontId="7" numFmtId="0" xfId="0" applyAlignment="1" applyFill="1" applyFont="1">
      <alignment readingOrder="0"/>
    </xf>
    <xf borderId="0" fillId="10" fontId="7" numFmtId="164" xfId="0" applyAlignment="1" applyFill="1" applyFont="1" applyNumberFormat="1">
      <alignment readingOrder="0"/>
    </xf>
    <xf borderId="0" fillId="9" fontId="7" numFmtId="164" xfId="0" applyAlignment="1" applyFill="1" applyFont="1" applyNumberFormat="1">
      <alignment readingOrder="0"/>
    </xf>
    <xf borderId="0" fillId="7" fontId="7" numFmtId="164" xfId="0" applyAlignment="1" applyFill="1" applyFont="1" applyNumberFormat="1">
      <alignment vertical="center"/>
    </xf>
    <xf borderId="0" fillId="9" fontId="7" numFmtId="0" xfId="0" applyAlignment="1" applyFill="1" applyFont="1">
      <alignment horizontal="center" readingOrder="0"/>
    </xf>
    <xf borderId="0" fillId="10" fontId="7" numFmtId="164" xfId="0" applyAlignment="1" applyFill="1" applyFont="1" applyNumberFormat="1">
      <alignment horizontal="right" vertical="center"/>
    </xf>
    <xf borderId="0" fillId="0" fontId="7" numFmtId="0" xfId="0" applyAlignment="1" applyFont="1">
      <alignment readingOrder="0"/>
    </xf>
    <xf borderId="0" fillId="11" fontId="11" numFmtId="0" xfId="0" applyAlignment="1" applyFill="1" applyFont="1">
      <alignment horizontal="left" readingOrder="0" shrinkToFit="0" textRotation="0" vertical="center" wrapText="0"/>
    </xf>
    <xf borderId="0" fillId="12" fontId="7" numFmtId="0" xfId="0" applyAlignment="1" applyFill="1" applyFont="1">
      <alignment readingOrder="0"/>
    </xf>
    <xf borderId="0" fillId="13" fontId="7" numFmtId="0" xfId="0" applyAlignment="1" applyFill="1" applyFont="1">
      <alignment readingOrder="0" vertical="center"/>
    </xf>
    <xf borderId="0" fillId="14" fontId="7" numFmtId="164" xfId="0" applyAlignment="1" applyFill="1" applyFont="1" applyNumberFormat="1">
      <alignment readingOrder="0"/>
    </xf>
    <xf borderId="0" fillId="13" fontId="7" numFmtId="0" xfId="0" applyAlignment="1" applyFill="1" applyFont="1">
      <alignment readingOrder="0"/>
    </xf>
    <xf borderId="0" fillId="13" fontId="7" numFmtId="164" xfId="0" applyAlignment="1" applyFill="1" applyFont="1" applyNumberFormat="1">
      <alignment readingOrder="0"/>
    </xf>
    <xf borderId="0" fillId="15" fontId="7" numFmtId="0" xfId="0" applyAlignment="1" applyFill="1" applyFont="1">
      <alignment readingOrder="0"/>
    </xf>
    <xf borderId="0" fillId="4" fontId="7" numFmtId="0" xfId="0" applyAlignment="1" applyFill="1" applyFont="1">
      <alignment readingOrder="0" vertical="center"/>
    </xf>
    <xf borderId="0" fillId="6" fontId="7" numFmtId="0" xfId="0" applyAlignment="1" applyFill="1" applyFont="1">
      <alignment readingOrder="0"/>
    </xf>
    <xf borderId="0" fillId="13" fontId="7" numFmtId="164" xfId="0" applyAlignment="1" applyFill="1" applyFont="1" applyNumberFormat="1">
      <alignment vertical="center"/>
    </xf>
    <xf borderId="0" fillId="16" fontId="7" numFmtId="164" xfId="0" applyFill="1" applyFont="1" applyNumberFormat="1"/>
    <xf borderId="2" fillId="17" fontId="12" numFmtId="0" xfId="0" applyAlignment="1" applyBorder="1" applyFill="1" applyFont="1">
      <alignment horizontal="left" readingOrder="0"/>
    </xf>
    <xf borderId="0" fillId="18" fontId="7" numFmtId="0" xfId="0" applyAlignment="1" applyFill="1" applyFont="1">
      <alignment readingOrder="0" vertical="center"/>
    </xf>
    <xf borderId="0" fillId="18" fontId="7" numFmtId="0" xfId="0" applyAlignment="1" applyFill="1" applyFont="1">
      <alignment readingOrder="0"/>
    </xf>
    <xf borderId="0" fillId="18" fontId="7" numFmtId="164" xfId="0" applyAlignment="1" applyFill="1" applyFont="1" applyNumberFormat="1">
      <alignment readingOrder="0"/>
    </xf>
    <xf borderId="2" fillId="0" fontId="13" numFmtId="0" xfId="0" applyAlignment="1" applyBorder="1" applyFont="1">
      <alignment horizontal="left" readingOrder="0"/>
    </xf>
    <xf borderId="0" fillId="19" fontId="7" numFmtId="164" xfId="0" applyAlignment="1" applyFill="1" applyFont="1" applyNumberFormat="1">
      <alignment vertical="center"/>
    </xf>
    <xf borderId="0" fillId="18" fontId="7" numFmtId="164" xfId="0" applyAlignment="1" applyFill="1" applyFont="1" applyNumberFormat="1">
      <alignment vertical="center"/>
    </xf>
    <xf borderId="0" fillId="19" fontId="7" numFmtId="0" xfId="0" applyAlignment="1" applyFill="1" applyFont="1">
      <alignment readingOrder="0" vertical="center"/>
    </xf>
    <xf borderId="0" fillId="19" fontId="7" numFmtId="0" xfId="0" applyAlignment="1" applyFill="1" applyFont="1">
      <alignment readingOrder="0"/>
    </xf>
    <xf borderId="0" fillId="19" fontId="7" numFmtId="164" xfId="0" applyAlignment="1" applyFill="1" applyFont="1" applyNumberFormat="1">
      <alignment readingOrder="0"/>
    </xf>
    <xf borderId="0" fillId="10" fontId="7" numFmtId="164" xfId="0" applyAlignment="1" applyFill="1" applyFont="1" applyNumberFormat="1">
      <alignment vertical="center"/>
    </xf>
    <xf borderId="0" fillId="0" fontId="7" numFmtId="0" xfId="0" applyAlignment="1" applyFont="1">
      <alignment textRotation="0"/>
    </xf>
    <xf borderId="0" fillId="20" fontId="7" numFmtId="0" xfId="0" applyAlignment="1" applyFill="1" applyFont="1">
      <alignment readingOrder="0" vertical="center"/>
    </xf>
    <xf borderId="0" fillId="20" fontId="7" numFmtId="0" xfId="0" applyAlignment="1" applyFill="1" applyFont="1">
      <alignment readingOrder="0"/>
    </xf>
    <xf borderId="0" fillId="20" fontId="7" numFmtId="164" xfId="0" applyAlignment="1" applyFill="1" applyFont="1" applyNumberFormat="1">
      <alignment readingOrder="0"/>
    </xf>
    <xf borderId="0" fillId="20" fontId="7" numFmtId="164" xfId="0" applyAlignment="1" applyFill="1" applyFont="1" applyNumberFormat="1">
      <alignment vertical="center"/>
    </xf>
    <xf borderId="0" fillId="4" fontId="14" numFmtId="0" xfId="0" applyAlignment="1" applyFill="1" applyFont="1">
      <alignment horizontal="center" readingOrder="0"/>
    </xf>
    <xf borderId="0" fillId="21" fontId="4" numFmtId="0" xfId="0" applyAlignment="1" applyFill="1" applyFont="1">
      <alignment readingOrder="0"/>
    </xf>
    <xf borderId="0" fillId="21" fontId="15" numFmtId="0" xfId="0" applyAlignment="1" applyFill="1" applyFont="1">
      <alignment readingOrder="0"/>
    </xf>
    <xf borderId="0" fillId="0" fontId="16" numFmtId="0" xfId="0" applyFont="1"/>
    <xf borderId="0" fillId="22" fontId="7" numFmtId="0" xfId="0" applyAlignment="1" applyFill="1" applyFont="1">
      <alignment readingOrder="0"/>
    </xf>
    <xf borderId="0" fillId="22" fontId="11" numFmtId="0" xfId="0" applyAlignment="1" applyFill="1" applyFont="1">
      <alignment readingOrder="0"/>
    </xf>
    <xf borderId="0" fillId="22" fontId="7" numFmtId="49" xfId="0" applyAlignment="1" applyFill="1" applyFont="1" applyNumberFormat="1">
      <alignment horizontal="left" readingOrder="0"/>
    </xf>
    <xf borderId="0" fillId="22" fontId="7" numFmtId="9" xfId="0" applyAlignment="1" applyFill="1" applyFont="1" applyNumberFormat="1">
      <alignment horizontal="left" readingOrder="0"/>
    </xf>
    <xf borderId="0" fillId="22" fontId="7" numFmtId="0" xfId="0" applyAlignment="1" applyFill="1" applyFont="1">
      <alignment horizontal="left" readingOrder="0"/>
    </xf>
    <xf borderId="0" fillId="22" fontId="7" numFmtId="4" xfId="0" applyAlignment="1" applyFill="1" applyFont="1" applyNumberFormat="1">
      <alignment horizontal="left" readingOrder="0"/>
    </xf>
    <xf borderId="0" fillId="23" fontId="7" numFmtId="0" xfId="0" applyAlignment="1" applyFill="1" applyFont="1">
      <alignment readingOrder="0"/>
    </xf>
    <xf borderId="0" fillId="23" fontId="7" numFmtId="0" xfId="0" applyAlignment="1" applyFill="1" applyFont="1">
      <alignment horizontal="left" readingOrder="0"/>
    </xf>
    <xf borderId="0" fillId="24" fontId="7" numFmtId="0" xfId="0" applyAlignment="1" applyFill="1" applyFont="1">
      <alignment readingOrder="0"/>
    </xf>
    <xf borderId="0" fillId="24" fontId="7" numFmtId="0" xfId="0" applyAlignment="1" applyFill="1" applyFont="1">
      <alignment horizontal="left" readingOrder="0"/>
    </xf>
    <xf borderId="0" fillId="25" fontId="7" numFmtId="0" xfId="0" applyAlignment="1" applyFill="1" applyFont="1">
      <alignment readingOrder="0"/>
    </xf>
    <xf borderId="0" fillId="26" fontId="7" numFmtId="0" xfId="0" applyAlignment="1" applyFill="1" applyFont="1">
      <alignment readingOrder="0"/>
    </xf>
    <xf borderId="0" fillId="24" fontId="7" numFmtId="4" xfId="0" applyAlignment="1" applyFill="1" applyFont="1" applyNumberFormat="1">
      <alignment horizontal="left" readingOrder="0"/>
    </xf>
    <xf borderId="0" fillId="9" fontId="7" numFmtId="0" xfId="0" applyAlignment="1" applyFill="1" applyFont="1">
      <alignment horizontal="right" readingOrder="0"/>
    </xf>
    <xf borderId="0" fillId="27" fontId="7" numFmtId="0" xfId="0" applyAlignment="1" applyFill="1" applyFont="1">
      <alignment readingOrder="0"/>
    </xf>
    <xf borderId="0" fillId="18" fontId="7" numFmtId="0" xfId="0" applyAlignment="1" applyFill="1" applyFont="1">
      <alignment horizontal="left" readingOrder="0"/>
    </xf>
    <xf borderId="0" fillId="28" fontId="7" numFmtId="164" xfId="0" applyFill="1" applyFont="1" applyNumberFormat="1"/>
    <xf borderId="0" fillId="17" fontId="7" numFmtId="0" xfId="0" applyAlignment="1" applyFill="1" applyFont="1">
      <alignment readingOrder="0"/>
    </xf>
    <xf borderId="0" fillId="12" fontId="7" numFmtId="0" xfId="0" applyAlignment="1" applyFill="1" applyFont="1">
      <alignment horizontal="left" readingOrder="0"/>
    </xf>
    <xf borderId="0" fillId="0" fontId="7" numFmtId="0" xfId="0" applyFont="1"/>
    <xf borderId="0" fillId="12" fontId="7" numFmtId="9" xfId="0" applyAlignment="1" applyFill="1" applyFont="1" applyNumberFormat="1">
      <alignment horizontal="left" readingOrder="0"/>
    </xf>
    <xf borderId="0" fillId="10" fontId="7" numFmtId="0" xfId="0" applyAlignment="1" applyFill="1" applyFont="1">
      <alignment horizontal="left" readingOrder="0"/>
    </xf>
    <xf borderId="0" fillId="29" fontId="7" numFmtId="0" xfId="0" applyAlignment="1" applyFill="1" applyFont="1">
      <alignment readingOrder="0"/>
    </xf>
    <xf borderId="0" fillId="29" fontId="7" numFmtId="0" xfId="0" applyAlignment="1" applyFill="1" applyFont="1">
      <alignment horizontal="left" readingOrder="0"/>
    </xf>
    <xf borderId="0" fillId="29" fontId="7" numFmtId="9" xfId="0" applyAlignment="1" applyFill="1" applyFont="1" applyNumberFormat="1">
      <alignment horizontal="left" readingOrder="0"/>
    </xf>
    <xf borderId="0" fillId="24" fontId="7" numFmtId="9" xfId="0" applyAlignment="1" applyFill="1" applyFont="1" applyNumberFormat="1">
      <alignment horizontal="left" readingOrder="0"/>
    </xf>
    <xf borderId="0" fillId="30" fontId="7" numFmtId="0" xfId="0" applyAlignment="1" applyFill="1" applyFont="1">
      <alignment readingOrder="0"/>
    </xf>
    <xf borderId="0" fillId="18" fontId="7" numFmtId="0" xfId="0" applyFill="1" applyFont="1"/>
    <xf borderId="0" fillId="18" fontId="7" numFmtId="9" xfId="0" applyAlignment="1" applyFill="1" applyFont="1" applyNumberFormat="1">
      <alignment horizontal="left" readingOrder="0"/>
    </xf>
    <xf borderId="0" fillId="23" fontId="7" numFmtId="9" xfId="0" applyAlignment="1" applyFill="1" applyFont="1" applyNumberFormat="1">
      <alignment horizontal="left" readingOrder="0"/>
    </xf>
    <xf borderId="0" fillId="21" fontId="4" numFmtId="0" xfId="0" applyAlignment="1" applyFill="1" applyFont="1">
      <alignment horizontal="left" readingOrder="0"/>
    </xf>
    <xf borderId="0" fillId="21" fontId="15" numFmtId="0" xfId="0" applyAlignment="1" applyFill="1" applyFont="1">
      <alignment horizontal="left"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0"/>
    <col customWidth="1" min="3" max="3" width="23.25"/>
    <col customWidth="1" min="4" max="4" width="32.63"/>
    <col customWidth="1" min="5" max="5" width="10.5"/>
    <col customWidth="1" min="6" max="6" width="16.88"/>
    <col customWidth="1" min="7" max="7" width="14.75"/>
    <col customWidth="1" min="8" max="8" width="15.75"/>
  </cols>
  <sheetData>
    <row r="3">
      <c r="A3" s="1" t="s">
        <v>2</v>
      </c>
      <c r="B3" s="1" t="s">
        <v>3</v>
      </c>
      <c r="C3" s="1" t="s">
        <v>4</v>
      </c>
      <c r="D3" s="1" t="s">
        <v>5</v>
      </c>
      <c r="E3" s="6" t="s">
        <v>6</v>
      </c>
      <c r="F3" s="6" t="s">
        <v>11</v>
      </c>
      <c r="G3" s="6" t="s">
        <v>13</v>
      </c>
      <c r="H3" s="6" t="s">
        <v>15</v>
      </c>
    </row>
    <row r="4">
      <c r="A4" s="8" t="s">
        <v>14</v>
      </c>
      <c r="B4" s="8">
        <v>4.0</v>
      </c>
      <c r="C4" s="8" t="s">
        <v>18</v>
      </c>
      <c r="D4" s="8" t="s">
        <v>19</v>
      </c>
      <c r="E4" s="13">
        <f t="shared" ref="E4:E10" si="1">A15*6%</f>
        <v>1800</v>
      </c>
      <c r="F4" s="19">
        <f t="shared" ref="F4:F10" si="2">E4*100</f>
        <v>180000</v>
      </c>
      <c r="G4" s="21">
        <v>5.0</v>
      </c>
      <c r="H4" s="19">
        <f t="shared" ref="H4:H10" si="3">F4*G4</f>
        <v>900000</v>
      </c>
    </row>
    <row r="5">
      <c r="A5" s="8" t="s">
        <v>23</v>
      </c>
      <c r="B5" s="8">
        <v>5.0</v>
      </c>
      <c r="C5" s="8" t="s">
        <v>36</v>
      </c>
      <c r="D5" s="8" t="s">
        <v>37</v>
      </c>
      <c r="E5" s="13">
        <f t="shared" si="1"/>
        <v>1950</v>
      </c>
      <c r="F5" s="19">
        <f t="shared" si="2"/>
        <v>195000</v>
      </c>
      <c r="G5" s="21">
        <v>10.0</v>
      </c>
      <c r="H5" s="19">
        <f t="shared" si="3"/>
        <v>1950000</v>
      </c>
    </row>
    <row r="6">
      <c r="A6" s="8" t="s">
        <v>35</v>
      </c>
      <c r="B6" s="8" t="s">
        <v>41</v>
      </c>
      <c r="C6" s="8" t="s">
        <v>42</v>
      </c>
      <c r="D6" s="8" t="s">
        <v>43</v>
      </c>
      <c r="E6" s="13">
        <f t="shared" si="1"/>
        <v>2250</v>
      </c>
      <c r="F6" s="19">
        <f t="shared" si="2"/>
        <v>225000</v>
      </c>
      <c r="G6" s="21">
        <v>7.0</v>
      </c>
      <c r="H6" s="19">
        <f t="shared" si="3"/>
        <v>1575000</v>
      </c>
    </row>
    <row r="7">
      <c r="A7" s="8" t="s">
        <v>47</v>
      </c>
      <c r="B7" s="8" t="s">
        <v>41</v>
      </c>
      <c r="C7" s="8" t="s">
        <v>48</v>
      </c>
      <c r="D7" s="8" t="s">
        <v>49</v>
      </c>
      <c r="E7" s="13">
        <f t="shared" si="1"/>
        <v>2400</v>
      </c>
      <c r="F7" s="19">
        <f t="shared" si="2"/>
        <v>240000</v>
      </c>
      <c r="G7" s="21">
        <v>13.0</v>
      </c>
      <c r="H7" s="19">
        <f t="shared" si="3"/>
        <v>3120000</v>
      </c>
    </row>
    <row r="8">
      <c r="A8" s="8" t="s">
        <v>55</v>
      </c>
      <c r="B8" s="8" t="s">
        <v>56</v>
      </c>
      <c r="C8" s="8" t="s">
        <v>42</v>
      </c>
      <c r="D8" s="8" t="s">
        <v>58</v>
      </c>
      <c r="E8" s="13">
        <f t="shared" si="1"/>
        <v>2250</v>
      </c>
      <c r="F8" s="19">
        <f t="shared" si="2"/>
        <v>225000</v>
      </c>
      <c r="G8" s="21">
        <v>9.0</v>
      </c>
      <c r="H8" s="19">
        <f t="shared" si="3"/>
        <v>2025000</v>
      </c>
    </row>
    <row r="9">
      <c r="A9" s="8" t="s">
        <v>61</v>
      </c>
      <c r="B9" s="8" t="s">
        <v>62</v>
      </c>
      <c r="C9" s="8" t="s">
        <v>63</v>
      </c>
      <c r="D9" s="8" t="s">
        <v>64</v>
      </c>
      <c r="E9" s="13">
        <f t="shared" si="1"/>
        <v>2430</v>
      </c>
      <c r="F9" s="19">
        <f t="shared" si="2"/>
        <v>243000</v>
      </c>
      <c r="G9" s="21">
        <v>10.0</v>
      </c>
      <c r="H9" s="19">
        <f t="shared" si="3"/>
        <v>2430000</v>
      </c>
    </row>
    <row r="10">
      <c r="A10" s="8" t="s">
        <v>65</v>
      </c>
      <c r="B10" s="8" t="s">
        <v>56</v>
      </c>
      <c r="C10" s="8" t="s">
        <v>67</v>
      </c>
      <c r="D10" s="8" t="s">
        <v>43</v>
      </c>
      <c r="E10" s="13">
        <f t="shared" si="1"/>
        <v>3000</v>
      </c>
      <c r="F10" s="19">
        <f t="shared" si="2"/>
        <v>300000</v>
      </c>
      <c r="G10" s="21">
        <v>3.0</v>
      </c>
      <c r="H10" s="19">
        <f t="shared" si="3"/>
        <v>900000</v>
      </c>
    </row>
    <row r="11">
      <c r="A11" s="41" t="s">
        <v>72</v>
      </c>
    </row>
    <row r="12">
      <c r="B12" s="41" t="s">
        <v>75</v>
      </c>
      <c r="C12" s="41" t="s">
        <v>78</v>
      </c>
    </row>
    <row r="14">
      <c r="A14" s="6" t="s">
        <v>81</v>
      </c>
    </row>
    <row r="15">
      <c r="A15" s="19">
        <f>(20000+40000)/2</f>
        <v>30000</v>
      </c>
    </row>
    <row r="16">
      <c r="A16" s="19">
        <f>(20000+45000)/2</f>
        <v>32500</v>
      </c>
    </row>
    <row r="17">
      <c r="A17" s="19">
        <f>(25000+50000)/2</f>
        <v>37500</v>
      </c>
    </row>
    <row r="18">
      <c r="A18" s="19">
        <f>(25000+55000)/2</f>
        <v>40000</v>
      </c>
      <c r="B18" s="53"/>
      <c r="C18" s="53"/>
      <c r="D18" s="53"/>
      <c r="E18" s="53"/>
      <c r="F18" s="53"/>
    </row>
    <row r="19">
      <c r="A19" s="19">
        <f>(25000+50000)/2</f>
        <v>37500</v>
      </c>
      <c r="B19" s="57"/>
      <c r="C19" s="57"/>
      <c r="D19" s="57" t="s">
        <v>101</v>
      </c>
      <c r="E19" s="57"/>
      <c r="F19" s="57"/>
    </row>
    <row r="20">
      <c r="A20" s="19">
        <f>(25000+56000)/2</f>
        <v>40500</v>
      </c>
      <c r="B20" s="57"/>
      <c r="C20" s="57"/>
      <c r="D20" s="57"/>
      <c r="E20" s="57"/>
      <c r="F20" s="57"/>
    </row>
    <row r="21">
      <c r="A21" s="19">
        <f>(30000+70000)/2</f>
        <v>50000</v>
      </c>
      <c r="B21" s="57"/>
      <c r="C21" s="57"/>
      <c r="D21" s="57"/>
      <c r="E21" s="57"/>
      <c r="F21" s="57"/>
    </row>
    <row r="22">
      <c r="A22" s="57"/>
      <c r="B22" s="57"/>
      <c r="C22" s="57"/>
      <c r="D22" s="57"/>
      <c r="E22" s="57"/>
      <c r="F22" s="57"/>
    </row>
    <row r="23">
      <c r="A23" s="57"/>
      <c r="B23" s="57"/>
      <c r="C23" s="57"/>
      <c r="D23" s="57"/>
      <c r="E23" s="57"/>
      <c r="F23" s="57"/>
    </row>
    <row r="24">
      <c r="A24" s="57"/>
      <c r="B24" s="57"/>
      <c r="C24" s="57"/>
      <c r="D24" s="57"/>
      <c r="E24" s="57"/>
      <c r="F24" s="57"/>
    </row>
    <row r="25">
      <c r="A25" s="57"/>
      <c r="B25" s="57"/>
      <c r="C25" s="57"/>
      <c r="D25" s="57"/>
      <c r="E25" s="57"/>
      <c r="F25" s="5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</row>
    <row r="2">
      <c r="A2" s="5" t="s">
        <v>2</v>
      </c>
      <c r="B2" s="5" t="s">
        <v>9</v>
      </c>
      <c r="C2" s="5" t="s">
        <v>8</v>
      </c>
      <c r="D2" s="5" t="s">
        <v>12</v>
      </c>
    </row>
    <row r="3">
      <c r="A3" s="7" t="s">
        <v>14</v>
      </c>
      <c r="B3" s="9" t="s">
        <v>16</v>
      </c>
      <c r="C3" s="10">
        <v>15000.0</v>
      </c>
      <c r="D3" s="12">
        <f>SUM(C3:C5)</f>
        <v>45000</v>
      </c>
    </row>
    <row r="4">
      <c r="B4" s="9" t="s">
        <v>20</v>
      </c>
      <c r="C4" s="10">
        <v>15000.0</v>
      </c>
    </row>
    <row r="5">
      <c r="B5" s="9" t="s">
        <v>21</v>
      </c>
      <c r="C5" s="10">
        <v>15000.0</v>
      </c>
    </row>
    <row r="6">
      <c r="A6" s="15" t="s">
        <v>23</v>
      </c>
      <c r="B6" s="16" t="s">
        <v>25</v>
      </c>
      <c r="C6" s="18">
        <v>15000.0</v>
      </c>
      <c r="D6" s="22">
        <f>SUM(C6:C10)</f>
        <v>75000</v>
      </c>
    </row>
    <row r="7">
      <c r="B7" s="16" t="s">
        <v>30</v>
      </c>
      <c r="C7" s="18">
        <v>15000.0</v>
      </c>
    </row>
    <row r="8">
      <c r="B8" s="16" t="s">
        <v>31</v>
      </c>
      <c r="C8" s="18">
        <v>15000.0</v>
      </c>
    </row>
    <row r="9">
      <c r="B9" s="16" t="s">
        <v>32</v>
      </c>
      <c r="C9" s="18">
        <v>15000.0</v>
      </c>
    </row>
    <row r="10">
      <c r="B10" s="16" t="s">
        <v>34</v>
      </c>
      <c r="C10" s="18">
        <v>15000.0</v>
      </c>
    </row>
    <row r="11">
      <c r="A11" s="27" t="s">
        <v>35</v>
      </c>
      <c r="B11" s="28" t="s">
        <v>39</v>
      </c>
      <c r="C11" s="31">
        <v>15000.0</v>
      </c>
      <c r="D11" s="32">
        <f>SUM(C11:C15)</f>
        <v>75000</v>
      </c>
    </row>
    <row r="12">
      <c r="B12" s="28" t="s">
        <v>50</v>
      </c>
      <c r="C12" s="31">
        <v>15000.0</v>
      </c>
    </row>
    <row r="13">
      <c r="B13" s="28" t="s">
        <v>53</v>
      </c>
      <c r="C13" s="31">
        <v>15000.0</v>
      </c>
    </row>
    <row r="14">
      <c r="B14" s="28" t="s">
        <v>54</v>
      </c>
      <c r="C14" s="31">
        <v>15000.0</v>
      </c>
    </row>
    <row r="15">
      <c r="B15" s="28" t="s">
        <v>59</v>
      </c>
      <c r="C15" s="31">
        <v>15000.0</v>
      </c>
    </row>
    <row r="16">
      <c r="A16" s="34" t="s">
        <v>47</v>
      </c>
      <c r="B16" s="35" t="s">
        <v>60</v>
      </c>
      <c r="C16" s="36">
        <v>15000.0</v>
      </c>
      <c r="D16" s="40">
        <f>sum(C16:C21)</f>
        <v>90000</v>
      </c>
    </row>
    <row r="17">
      <c r="B17" s="35" t="s">
        <v>70</v>
      </c>
      <c r="C17" s="36">
        <v>15000.0</v>
      </c>
    </row>
    <row r="18">
      <c r="B18" s="35" t="s">
        <v>74</v>
      </c>
      <c r="C18" s="36">
        <v>15000.0</v>
      </c>
    </row>
    <row r="19">
      <c r="B19" s="35" t="s">
        <v>77</v>
      </c>
      <c r="C19" s="36">
        <v>15000.0</v>
      </c>
    </row>
    <row r="20">
      <c r="B20" s="35" t="s">
        <v>80</v>
      </c>
      <c r="C20" s="36">
        <v>15000.0</v>
      </c>
    </row>
    <row r="21">
      <c r="B21" s="35" t="s">
        <v>83</v>
      </c>
      <c r="C21" s="36">
        <v>15000.0</v>
      </c>
    </row>
    <row r="22">
      <c r="A22" s="44" t="s">
        <v>55</v>
      </c>
      <c r="B22" s="46" t="s">
        <v>86</v>
      </c>
      <c r="C22" s="47">
        <v>15000.0</v>
      </c>
      <c r="D22" s="51">
        <f>sum(C22:C27)</f>
        <v>90000</v>
      </c>
    </row>
    <row r="23">
      <c r="B23" s="46" t="s">
        <v>90</v>
      </c>
      <c r="C23" s="47">
        <v>15000.0</v>
      </c>
    </row>
    <row r="24">
      <c r="B24" s="46" t="s">
        <v>91</v>
      </c>
      <c r="C24" s="47">
        <v>15000.0</v>
      </c>
    </row>
    <row r="25">
      <c r="B25" s="46" t="s">
        <v>92</v>
      </c>
      <c r="C25" s="47">
        <v>15000.0</v>
      </c>
    </row>
    <row r="26">
      <c r="B26" s="46" t="s">
        <v>93</v>
      </c>
      <c r="C26" s="47">
        <v>15000.0</v>
      </c>
    </row>
    <row r="27">
      <c r="B27" s="46" t="s">
        <v>94</v>
      </c>
      <c r="C27" s="47">
        <v>15000.0</v>
      </c>
    </row>
    <row r="28">
      <c r="A28" s="54" t="s">
        <v>61</v>
      </c>
      <c r="B28" s="55" t="s">
        <v>96</v>
      </c>
      <c r="C28" s="56">
        <v>15000.0</v>
      </c>
      <c r="D28" s="59">
        <f>sum(C28:C34)</f>
        <v>105000</v>
      </c>
    </row>
    <row r="29">
      <c r="B29" s="55" t="s">
        <v>103</v>
      </c>
      <c r="C29" s="56">
        <v>15000.0</v>
      </c>
    </row>
    <row r="30">
      <c r="B30" s="55" t="s">
        <v>105</v>
      </c>
      <c r="C30" s="56">
        <v>15000.0</v>
      </c>
    </row>
    <row r="31">
      <c r="B31" s="55" t="s">
        <v>107</v>
      </c>
      <c r="C31" s="56">
        <v>15000.0</v>
      </c>
    </row>
    <row r="32">
      <c r="B32" s="55" t="s">
        <v>108</v>
      </c>
      <c r="C32" s="56">
        <v>15000.0</v>
      </c>
    </row>
    <row r="33">
      <c r="B33" s="55" t="s">
        <v>109</v>
      </c>
      <c r="C33" s="56">
        <v>15000.0</v>
      </c>
    </row>
    <row r="34">
      <c r="B34" s="55" t="s">
        <v>110</v>
      </c>
      <c r="C34" s="56">
        <v>15000.0</v>
      </c>
    </row>
    <row r="35">
      <c r="A35" s="60" t="s">
        <v>112</v>
      </c>
      <c r="B35" s="61" t="s">
        <v>113</v>
      </c>
      <c r="C35" s="62">
        <v>15000.0</v>
      </c>
      <c r="D35" s="58">
        <f>sum(C35:C45)</f>
        <v>165000</v>
      </c>
    </row>
    <row r="36">
      <c r="B36" s="61" t="s">
        <v>118</v>
      </c>
      <c r="C36" s="62">
        <v>15000.0</v>
      </c>
    </row>
    <row r="37">
      <c r="B37" s="61" t="s">
        <v>120</v>
      </c>
      <c r="C37" s="62">
        <v>15000.0</v>
      </c>
    </row>
    <row r="38">
      <c r="B38" s="61" t="s">
        <v>126</v>
      </c>
      <c r="C38" s="62">
        <v>15000.0</v>
      </c>
    </row>
    <row r="39">
      <c r="B39" s="61" t="s">
        <v>128</v>
      </c>
      <c r="C39" s="62">
        <v>15000.0</v>
      </c>
    </row>
    <row r="40">
      <c r="B40" s="61" t="s">
        <v>130</v>
      </c>
      <c r="C40" s="62">
        <v>15000.0</v>
      </c>
    </row>
    <row r="41">
      <c r="B41" s="61" t="s">
        <v>132</v>
      </c>
      <c r="C41" s="62">
        <v>15000.0</v>
      </c>
    </row>
    <row r="42">
      <c r="B42" s="61" t="s">
        <v>135</v>
      </c>
      <c r="C42" s="62">
        <v>15000.0</v>
      </c>
    </row>
    <row r="43">
      <c r="B43" s="61" t="s">
        <v>136</v>
      </c>
      <c r="C43" s="62">
        <v>15000.0</v>
      </c>
    </row>
    <row r="44">
      <c r="B44" s="61" t="s">
        <v>137</v>
      </c>
      <c r="C44" s="62">
        <v>15000.0</v>
      </c>
    </row>
    <row r="45">
      <c r="B45" s="61" t="s">
        <v>139</v>
      </c>
      <c r="C45" s="62">
        <v>15000.0</v>
      </c>
    </row>
    <row r="46">
      <c r="A46" s="65" t="s">
        <v>141</v>
      </c>
      <c r="B46" s="66" t="s">
        <v>142</v>
      </c>
      <c r="C46" s="67">
        <v>15000.0</v>
      </c>
      <c r="D46" s="68">
        <f>sum(C46:C49)</f>
        <v>60000</v>
      </c>
    </row>
    <row r="47">
      <c r="B47" s="66" t="s">
        <v>147</v>
      </c>
      <c r="C47" s="67">
        <v>15000.0</v>
      </c>
    </row>
    <row r="48">
      <c r="B48" s="66" t="s">
        <v>149</v>
      </c>
      <c r="C48" s="67">
        <v>15000.0</v>
      </c>
    </row>
    <row r="49">
      <c r="B49" s="66" t="s">
        <v>152</v>
      </c>
      <c r="C49" s="67">
        <v>15000.0</v>
      </c>
    </row>
    <row r="50">
      <c r="A50" s="50" t="s">
        <v>154</v>
      </c>
    </row>
  </sheetData>
  <mergeCells count="18">
    <mergeCell ref="D11:D15"/>
    <mergeCell ref="D16:D21"/>
    <mergeCell ref="D6:D10"/>
    <mergeCell ref="D22:D27"/>
    <mergeCell ref="A28:A34"/>
    <mergeCell ref="D28:D34"/>
    <mergeCell ref="A35:A45"/>
    <mergeCell ref="D35:D45"/>
    <mergeCell ref="A46:A49"/>
    <mergeCell ref="D46:D49"/>
    <mergeCell ref="A50:D51"/>
    <mergeCell ref="A1:D1"/>
    <mergeCell ref="A3:A5"/>
    <mergeCell ref="D3:D5"/>
    <mergeCell ref="A6:A10"/>
    <mergeCell ref="A11:A15"/>
    <mergeCell ref="A16:A21"/>
    <mergeCell ref="A22:A2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</row>
    <row r="2">
      <c r="A2" s="4" t="s">
        <v>2</v>
      </c>
      <c r="B2" s="4" t="s">
        <v>7</v>
      </c>
      <c r="C2" s="4" t="s">
        <v>8</v>
      </c>
      <c r="D2" s="4" t="s">
        <v>10</v>
      </c>
    </row>
    <row r="3">
      <c r="A3" s="7" t="s">
        <v>14</v>
      </c>
      <c r="B3" s="9" t="s">
        <v>17</v>
      </c>
      <c r="C3" s="11">
        <v>15000.0</v>
      </c>
      <c r="D3" s="14">
        <f>SUM(C3:C8)+(C9)</f>
        <v>150000</v>
      </c>
    </row>
    <row r="4">
      <c r="B4" s="10" t="s">
        <v>22</v>
      </c>
      <c r="C4" s="11">
        <v>15000.0</v>
      </c>
    </row>
    <row r="5">
      <c r="B5" s="10" t="s">
        <v>24</v>
      </c>
      <c r="C5" s="11">
        <v>15000.0</v>
      </c>
      <c r="F5" s="17"/>
    </row>
    <row r="6">
      <c r="B6" s="9" t="s">
        <v>26</v>
      </c>
      <c r="C6" s="11">
        <v>15000.0</v>
      </c>
    </row>
    <row r="7">
      <c r="B7" s="9" t="s">
        <v>27</v>
      </c>
      <c r="C7" s="11">
        <v>30000.0</v>
      </c>
    </row>
    <row r="8">
      <c r="B8" s="9" t="s">
        <v>28</v>
      </c>
      <c r="C8" s="11">
        <v>30000.0</v>
      </c>
    </row>
    <row r="9">
      <c r="A9" s="20"/>
      <c r="B9" s="23" t="s">
        <v>29</v>
      </c>
      <c r="C9" s="24">
        <v>30000.0</v>
      </c>
    </row>
    <row r="10">
      <c r="A10" s="25" t="s">
        <v>23</v>
      </c>
      <c r="B10" s="16" t="s">
        <v>38</v>
      </c>
      <c r="C10" s="29">
        <v>15000.0</v>
      </c>
      <c r="D10" s="38">
        <f>sum(C10:C18)+C19</f>
        <v>215000</v>
      </c>
    </row>
    <row r="11">
      <c r="B11" s="16" t="s">
        <v>68</v>
      </c>
      <c r="C11" s="29">
        <v>15000.0</v>
      </c>
    </row>
    <row r="12">
      <c r="B12" s="16" t="s">
        <v>69</v>
      </c>
      <c r="C12" s="29">
        <v>15000.0</v>
      </c>
    </row>
    <row r="13">
      <c r="B13" s="16" t="s">
        <v>73</v>
      </c>
      <c r="C13" s="29">
        <v>15000.0</v>
      </c>
    </row>
    <row r="14">
      <c r="B14" s="16" t="s">
        <v>76</v>
      </c>
      <c r="C14" s="29">
        <v>15000.0</v>
      </c>
    </row>
    <row r="15">
      <c r="B15" s="16" t="s">
        <v>82</v>
      </c>
      <c r="C15" s="29">
        <v>15000.0</v>
      </c>
    </row>
    <row r="16">
      <c r="B16" s="16" t="s">
        <v>84</v>
      </c>
      <c r="C16" s="29">
        <v>15000.0</v>
      </c>
    </row>
    <row r="17">
      <c r="B17" s="16" t="s">
        <v>85</v>
      </c>
      <c r="C17" s="29">
        <v>15000.0</v>
      </c>
    </row>
    <row r="18">
      <c r="B18" s="16" t="s">
        <v>87</v>
      </c>
      <c r="C18" s="29">
        <v>15000.0</v>
      </c>
    </row>
    <row r="19">
      <c r="A19" s="49"/>
      <c r="B19" s="23" t="s">
        <v>88</v>
      </c>
      <c r="C19" s="24">
        <v>80000.0</v>
      </c>
    </row>
    <row r="20">
      <c r="A20" s="27" t="s">
        <v>35</v>
      </c>
      <c r="B20" s="28" t="s">
        <v>89</v>
      </c>
      <c r="C20" s="31">
        <v>25000.0</v>
      </c>
      <c r="D20" s="32">
        <f>sum(C20:C25)+C26</f>
        <v>230000</v>
      </c>
    </row>
    <row r="21">
      <c r="B21" s="28" t="s">
        <v>95</v>
      </c>
      <c r="C21" s="31">
        <v>25000.0</v>
      </c>
    </row>
    <row r="22">
      <c r="B22" s="28" t="s">
        <v>97</v>
      </c>
      <c r="C22" s="31">
        <v>25000.0</v>
      </c>
    </row>
    <row r="23">
      <c r="B23" s="28" t="s">
        <v>98</v>
      </c>
      <c r="C23" s="31">
        <v>25000.0</v>
      </c>
    </row>
    <row r="24">
      <c r="B24" s="28" t="s">
        <v>99</v>
      </c>
      <c r="C24" s="31">
        <v>25000.0</v>
      </c>
    </row>
    <row r="25">
      <c r="B25" s="28" t="s">
        <v>100</v>
      </c>
      <c r="C25" s="31">
        <v>25000.0</v>
      </c>
    </row>
    <row r="26">
      <c r="A26" s="49"/>
      <c r="B26" s="23" t="s">
        <v>102</v>
      </c>
      <c r="C26" s="24">
        <v>80000.0</v>
      </c>
    </row>
    <row r="27">
      <c r="A27" s="34" t="s">
        <v>47</v>
      </c>
      <c r="B27" s="35" t="s">
        <v>106</v>
      </c>
      <c r="C27" s="36">
        <v>40000.0</v>
      </c>
      <c r="D27" s="63">
        <f>sum(C27:C39)</f>
        <v>520000</v>
      </c>
    </row>
    <row r="28">
      <c r="B28" s="35" t="s">
        <v>114</v>
      </c>
      <c r="C28" s="36">
        <v>40000.0</v>
      </c>
    </row>
    <row r="29">
      <c r="B29" s="35" t="s">
        <v>116</v>
      </c>
      <c r="C29" s="36">
        <v>40000.0</v>
      </c>
    </row>
    <row r="30">
      <c r="B30" s="35" t="s">
        <v>117</v>
      </c>
      <c r="C30" s="36">
        <v>40000.0</v>
      </c>
    </row>
    <row r="31">
      <c r="B31" s="35" t="s">
        <v>119</v>
      </c>
      <c r="C31" s="36">
        <v>40000.0</v>
      </c>
    </row>
    <row r="32">
      <c r="B32" s="35" t="s">
        <v>121</v>
      </c>
      <c r="C32" s="36">
        <v>40000.0</v>
      </c>
    </row>
    <row r="33">
      <c r="B33" s="35" t="s">
        <v>122</v>
      </c>
      <c r="C33" s="36">
        <v>40000.0</v>
      </c>
    </row>
    <row r="34">
      <c r="B34" s="35" t="s">
        <v>123</v>
      </c>
      <c r="C34" s="36">
        <v>40000.0</v>
      </c>
    </row>
    <row r="35">
      <c r="B35" s="35" t="s">
        <v>124</v>
      </c>
      <c r="C35" s="36">
        <v>40000.0</v>
      </c>
    </row>
    <row r="36">
      <c r="B36" s="35" t="s">
        <v>127</v>
      </c>
      <c r="C36" s="36">
        <v>40000.0</v>
      </c>
    </row>
    <row r="37">
      <c r="B37" s="35" t="s">
        <v>129</v>
      </c>
      <c r="C37" s="36">
        <v>40000.0</v>
      </c>
    </row>
    <row r="38">
      <c r="B38" s="35" t="s">
        <v>131</v>
      </c>
      <c r="C38" s="36">
        <v>40000.0</v>
      </c>
    </row>
    <row r="39">
      <c r="B39" s="35" t="s">
        <v>134</v>
      </c>
      <c r="C39" s="36">
        <v>40000.0</v>
      </c>
    </row>
    <row r="40">
      <c r="A40" s="44" t="s">
        <v>55</v>
      </c>
      <c r="B40" s="46" t="s">
        <v>138</v>
      </c>
      <c r="C40" s="47">
        <v>30000.0</v>
      </c>
      <c r="D40" s="51">
        <f>sum(C40:C47)+C48</f>
        <v>300000</v>
      </c>
    </row>
    <row r="41">
      <c r="B41" s="46" t="s">
        <v>145</v>
      </c>
      <c r="C41" s="47">
        <v>30000.0</v>
      </c>
    </row>
    <row r="42">
      <c r="B42" s="46" t="s">
        <v>146</v>
      </c>
      <c r="C42" s="47">
        <v>30000.0</v>
      </c>
    </row>
    <row r="43">
      <c r="B43" s="46" t="s">
        <v>148</v>
      </c>
      <c r="C43" s="47">
        <v>30000.0</v>
      </c>
    </row>
    <row r="44">
      <c r="B44" s="46" t="s">
        <v>151</v>
      </c>
      <c r="C44" s="47">
        <v>30000.0</v>
      </c>
    </row>
    <row r="45">
      <c r="B45" s="46" t="s">
        <v>153</v>
      </c>
      <c r="C45" s="47">
        <v>30000.0</v>
      </c>
    </row>
    <row r="46">
      <c r="B46" s="46" t="s">
        <v>155</v>
      </c>
      <c r="C46" s="47">
        <v>30000.0</v>
      </c>
    </row>
    <row r="47">
      <c r="B47" s="46" t="s">
        <v>156</v>
      </c>
      <c r="C47" s="47">
        <v>30000.0</v>
      </c>
    </row>
    <row r="48">
      <c r="A48" s="49"/>
      <c r="B48" s="23" t="s">
        <v>158</v>
      </c>
      <c r="C48" s="24">
        <v>60000.0</v>
      </c>
    </row>
    <row r="49">
      <c r="A49" s="54" t="s">
        <v>159</v>
      </c>
      <c r="B49" s="55" t="s">
        <v>160</v>
      </c>
      <c r="C49" s="56">
        <v>30000.0</v>
      </c>
      <c r="D49" s="59">
        <f>sum(C49:C57)+C58</f>
        <v>330000</v>
      </c>
    </row>
    <row r="50">
      <c r="B50" s="55" t="s">
        <v>164</v>
      </c>
      <c r="C50" s="56">
        <v>30000.0</v>
      </c>
    </row>
    <row r="51">
      <c r="B51" s="55" t="s">
        <v>165</v>
      </c>
      <c r="C51" s="56">
        <v>30000.0</v>
      </c>
    </row>
    <row r="52">
      <c r="B52" s="55" t="s">
        <v>166</v>
      </c>
      <c r="C52" s="56">
        <v>30000.0</v>
      </c>
    </row>
    <row r="53">
      <c r="B53" s="55" t="s">
        <v>168</v>
      </c>
      <c r="C53" s="56">
        <v>30000.0</v>
      </c>
    </row>
    <row r="54">
      <c r="B54" s="55" t="s">
        <v>169</v>
      </c>
      <c r="C54" s="56">
        <v>30000.0</v>
      </c>
    </row>
    <row r="55">
      <c r="B55" s="55" t="s">
        <v>170</v>
      </c>
      <c r="C55" s="56">
        <v>30000.0</v>
      </c>
    </row>
    <row r="56">
      <c r="B56" s="55" t="s">
        <v>172</v>
      </c>
      <c r="C56" s="56">
        <v>30000.0</v>
      </c>
    </row>
    <row r="57">
      <c r="B57" s="55" t="s">
        <v>173</v>
      </c>
      <c r="C57" s="56">
        <v>30000.0</v>
      </c>
    </row>
    <row r="58">
      <c r="A58" s="49"/>
      <c r="B58" s="23" t="s">
        <v>174</v>
      </c>
      <c r="C58" s="24">
        <v>60000.0</v>
      </c>
    </row>
    <row r="59">
      <c r="A59" s="60" t="s">
        <v>176</v>
      </c>
      <c r="B59" s="61" t="s">
        <v>177</v>
      </c>
      <c r="C59" s="62">
        <v>25000.0</v>
      </c>
      <c r="D59" s="58">
        <f>sum(C59:C65)+C66</f>
        <v>275000</v>
      </c>
    </row>
    <row r="60">
      <c r="B60" s="61" t="s">
        <v>180</v>
      </c>
      <c r="C60" s="62">
        <v>25000.0</v>
      </c>
    </row>
    <row r="61">
      <c r="B61" s="61" t="s">
        <v>182</v>
      </c>
      <c r="C61" s="62">
        <v>25000.0</v>
      </c>
    </row>
    <row r="62">
      <c r="B62" s="61" t="s">
        <v>183</v>
      </c>
      <c r="C62" s="62">
        <v>25000.0</v>
      </c>
    </row>
    <row r="63">
      <c r="B63" s="61" t="s">
        <v>185</v>
      </c>
      <c r="C63" s="62">
        <v>25000.0</v>
      </c>
    </row>
    <row r="64">
      <c r="B64" s="61" t="s">
        <v>186</v>
      </c>
      <c r="C64" s="62">
        <v>25000.0</v>
      </c>
    </row>
    <row r="65">
      <c r="B65" s="61" t="s">
        <v>187</v>
      </c>
      <c r="C65" s="62">
        <v>25000.0</v>
      </c>
    </row>
    <row r="66">
      <c r="A66" s="23"/>
      <c r="B66" s="23" t="s">
        <v>189</v>
      </c>
      <c r="C66" s="24">
        <v>100000.0</v>
      </c>
    </row>
    <row r="67">
      <c r="A67" s="65" t="s">
        <v>141</v>
      </c>
      <c r="B67" s="66" t="s">
        <v>190</v>
      </c>
      <c r="C67" s="67">
        <v>40000.0</v>
      </c>
      <c r="D67" s="68">
        <f>SUM(C67:C71)</f>
        <v>200000</v>
      </c>
    </row>
    <row r="68">
      <c r="B68" s="66" t="s">
        <v>193</v>
      </c>
      <c r="C68" s="67">
        <v>40000.0</v>
      </c>
    </row>
    <row r="69">
      <c r="B69" s="66" t="s">
        <v>194</v>
      </c>
      <c r="C69" s="67">
        <v>40000.0</v>
      </c>
    </row>
    <row r="70">
      <c r="B70" s="66" t="s">
        <v>195</v>
      </c>
      <c r="C70" s="67">
        <v>40000.0</v>
      </c>
    </row>
    <row r="71">
      <c r="B71" s="66" t="s">
        <v>197</v>
      </c>
      <c r="C71" s="67">
        <v>40000.0</v>
      </c>
    </row>
  </sheetData>
  <mergeCells count="17">
    <mergeCell ref="D20:D26"/>
    <mergeCell ref="D27:D39"/>
    <mergeCell ref="A40:A47"/>
    <mergeCell ref="D40:D48"/>
    <mergeCell ref="A49:A57"/>
    <mergeCell ref="D49:D58"/>
    <mergeCell ref="A59:A65"/>
    <mergeCell ref="D59:D66"/>
    <mergeCell ref="A67:A71"/>
    <mergeCell ref="D67:D71"/>
    <mergeCell ref="A1:D1"/>
    <mergeCell ref="A3:A8"/>
    <mergeCell ref="D3:D9"/>
    <mergeCell ref="A10:A18"/>
    <mergeCell ref="D10:D19"/>
    <mergeCell ref="A20:A25"/>
    <mergeCell ref="A27:A3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6" t="s">
        <v>33</v>
      </c>
      <c r="B1" s="30"/>
      <c r="C1" s="5" t="s">
        <v>40</v>
      </c>
      <c r="E1" s="5" t="s">
        <v>44</v>
      </c>
      <c r="F1" s="5" t="s">
        <v>8</v>
      </c>
      <c r="G1" s="5" t="s">
        <v>45</v>
      </c>
      <c r="H1" s="5" t="s">
        <v>46</v>
      </c>
      <c r="I1" s="5" t="s">
        <v>10</v>
      </c>
      <c r="J1" s="5" t="s">
        <v>51</v>
      </c>
      <c r="L1" s="33" t="s">
        <v>52</v>
      </c>
      <c r="M1" s="33" t="s">
        <v>57</v>
      </c>
      <c r="N1" s="37">
        <v>120.0</v>
      </c>
      <c r="O1" s="39" t="s">
        <v>66</v>
      </c>
      <c r="P1" s="33">
        <v>200.0</v>
      </c>
      <c r="Q1" s="39" t="s">
        <v>66</v>
      </c>
    </row>
    <row r="2">
      <c r="A2" s="42" t="s">
        <v>71</v>
      </c>
      <c r="C2" s="16" t="s">
        <v>79</v>
      </c>
      <c r="E2" s="43" t="s">
        <v>57</v>
      </c>
      <c r="F2" s="45">
        <v>120.0</v>
      </c>
      <c r="G2" s="48">
        <v>168.0</v>
      </c>
      <c r="H2" s="50">
        <v>200.0</v>
      </c>
      <c r="I2" s="52">
        <f t="shared" ref="I2:I61" si="1">F2*G2</f>
        <v>20160</v>
      </c>
      <c r="J2" s="58">
        <f>sum(I2+I63)</f>
        <v>32760</v>
      </c>
    </row>
    <row r="3">
      <c r="A3" s="42" t="s">
        <v>71</v>
      </c>
      <c r="C3" s="16" t="s">
        <v>104</v>
      </c>
      <c r="E3" s="43" t="s">
        <v>57</v>
      </c>
      <c r="F3" s="45">
        <v>120.0</v>
      </c>
      <c r="G3" s="48">
        <v>168.0</v>
      </c>
      <c r="H3" s="50">
        <v>200.0</v>
      </c>
      <c r="I3" s="52">
        <f t="shared" si="1"/>
        <v>20160</v>
      </c>
    </row>
    <row r="4">
      <c r="A4" s="42" t="s">
        <v>71</v>
      </c>
      <c r="C4" s="16" t="s">
        <v>111</v>
      </c>
      <c r="E4" s="43" t="s">
        <v>57</v>
      </c>
      <c r="F4" s="45">
        <v>120.0</v>
      </c>
      <c r="G4" s="48">
        <v>168.0</v>
      </c>
      <c r="H4" s="50">
        <v>200.0</v>
      </c>
      <c r="I4" s="52">
        <f t="shared" si="1"/>
        <v>20160</v>
      </c>
    </row>
    <row r="5">
      <c r="A5" s="42" t="s">
        <v>71</v>
      </c>
      <c r="C5" s="16" t="s">
        <v>115</v>
      </c>
      <c r="E5" s="43" t="s">
        <v>57</v>
      </c>
      <c r="F5" s="45">
        <v>120.0</v>
      </c>
      <c r="G5" s="48">
        <v>168.0</v>
      </c>
      <c r="H5" s="50">
        <v>200.0</v>
      </c>
      <c r="I5" s="52">
        <f t="shared" si="1"/>
        <v>20160</v>
      </c>
      <c r="M5" s="64"/>
    </row>
    <row r="6">
      <c r="A6" s="42" t="s">
        <v>71</v>
      </c>
      <c r="C6" s="16" t="s">
        <v>125</v>
      </c>
      <c r="E6" s="43" t="s">
        <v>57</v>
      </c>
      <c r="F6" s="45">
        <v>120.0</v>
      </c>
      <c r="G6" s="48">
        <v>168.0</v>
      </c>
      <c r="H6" s="50">
        <v>200.0</v>
      </c>
      <c r="I6" s="52">
        <f t="shared" si="1"/>
        <v>20160</v>
      </c>
    </row>
    <row r="7">
      <c r="A7" s="42" t="s">
        <v>71</v>
      </c>
      <c r="C7" s="16" t="s">
        <v>133</v>
      </c>
      <c r="E7" s="43" t="s">
        <v>57</v>
      </c>
      <c r="F7" s="45">
        <v>120.0</v>
      </c>
      <c r="G7" s="48">
        <v>168.0</v>
      </c>
      <c r="H7" s="50">
        <v>200.0</v>
      </c>
      <c r="I7" s="52">
        <f t="shared" si="1"/>
        <v>20160</v>
      </c>
    </row>
    <row r="8">
      <c r="A8" s="42" t="s">
        <v>71</v>
      </c>
      <c r="C8" s="16" t="s">
        <v>140</v>
      </c>
      <c r="E8" s="43" t="s">
        <v>57</v>
      </c>
      <c r="F8" s="45">
        <v>120.0</v>
      </c>
      <c r="G8" s="48">
        <v>168.0</v>
      </c>
      <c r="H8" s="50">
        <v>200.0</v>
      </c>
      <c r="I8" s="52">
        <f t="shared" si="1"/>
        <v>20160</v>
      </c>
    </row>
    <row r="9">
      <c r="A9" s="42" t="s">
        <v>71</v>
      </c>
      <c r="C9" s="16" t="s">
        <v>143</v>
      </c>
      <c r="E9" s="43" t="s">
        <v>57</v>
      </c>
      <c r="F9" s="45">
        <v>120.0</v>
      </c>
      <c r="G9" s="48">
        <v>168.0</v>
      </c>
      <c r="H9" s="50">
        <v>200.0</v>
      </c>
      <c r="I9" s="52">
        <f t="shared" si="1"/>
        <v>20160</v>
      </c>
    </row>
    <row r="10">
      <c r="A10" s="42" t="s">
        <v>71</v>
      </c>
      <c r="C10" s="16" t="s">
        <v>144</v>
      </c>
      <c r="E10" s="43" t="s">
        <v>57</v>
      </c>
      <c r="F10" s="45">
        <v>120.0</v>
      </c>
      <c r="G10" s="48">
        <v>168.0</v>
      </c>
      <c r="H10" s="50">
        <v>200.0</v>
      </c>
      <c r="I10" s="52">
        <f t="shared" si="1"/>
        <v>20160</v>
      </c>
    </row>
    <row r="11">
      <c r="A11" s="42" t="s">
        <v>71</v>
      </c>
      <c r="C11" s="16" t="s">
        <v>150</v>
      </c>
      <c r="E11" s="43" t="s">
        <v>57</v>
      </c>
      <c r="F11" s="45">
        <v>120.0</v>
      </c>
      <c r="G11" s="48">
        <v>168.0</v>
      </c>
      <c r="H11" s="50">
        <v>200.0</v>
      </c>
      <c r="I11" s="52">
        <f t="shared" si="1"/>
        <v>20160</v>
      </c>
    </row>
    <row r="12">
      <c r="A12" s="42" t="s">
        <v>71</v>
      </c>
      <c r="C12" s="16" t="s">
        <v>157</v>
      </c>
      <c r="E12" s="43" t="s">
        <v>57</v>
      </c>
      <c r="F12" s="45">
        <v>120.0</v>
      </c>
      <c r="G12" s="48">
        <v>168.0</v>
      </c>
      <c r="H12" s="50">
        <v>200.0</v>
      </c>
      <c r="I12" s="52">
        <f t="shared" si="1"/>
        <v>20160</v>
      </c>
    </row>
    <row r="13">
      <c r="A13" s="42" t="s">
        <v>71</v>
      </c>
      <c r="C13" s="16" t="s">
        <v>161</v>
      </c>
      <c r="E13" s="43" t="s">
        <v>57</v>
      </c>
      <c r="F13" s="45">
        <v>120.0</v>
      </c>
      <c r="G13" s="48">
        <v>168.0</v>
      </c>
      <c r="H13" s="50">
        <v>200.0</v>
      </c>
      <c r="I13" s="52">
        <f t="shared" si="1"/>
        <v>20160</v>
      </c>
    </row>
    <row r="14">
      <c r="A14" s="42" t="s">
        <v>71</v>
      </c>
      <c r="C14" s="16" t="s">
        <v>162</v>
      </c>
      <c r="E14" s="43" t="s">
        <v>57</v>
      </c>
      <c r="F14" s="45">
        <v>120.0</v>
      </c>
      <c r="G14" s="48">
        <v>168.0</v>
      </c>
      <c r="H14" s="50">
        <v>200.0</v>
      </c>
      <c r="I14" s="52">
        <f t="shared" si="1"/>
        <v>20160</v>
      </c>
    </row>
    <row r="15">
      <c r="A15" s="42" t="s">
        <v>71</v>
      </c>
      <c r="C15" s="16" t="s">
        <v>163</v>
      </c>
      <c r="E15" s="43" t="s">
        <v>57</v>
      </c>
      <c r="F15" s="45">
        <v>120.0</v>
      </c>
      <c r="G15" s="48">
        <v>168.0</v>
      </c>
      <c r="H15" s="50">
        <v>200.0</v>
      </c>
      <c r="I15" s="52">
        <f t="shared" si="1"/>
        <v>20160</v>
      </c>
    </row>
    <row r="16">
      <c r="A16" s="42" t="s">
        <v>71</v>
      </c>
      <c r="C16" s="16" t="s">
        <v>167</v>
      </c>
      <c r="E16" s="43" t="s">
        <v>57</v>
      </c>
      <c r="F16" s="45">
        <v>120.0</v>
      </c>
      <c r="G16" s="48">
        <v>168.0</v>
      </c>
      <c r="H16" s="50">
        <v>200.0</v>
      </c>
      <c r="I16" s="52">
        <f t="shared" si="1"/>
        <v>20160</v>
      </c>
    </row>
    <row r="17">
      <c r="A17" s="42" t="s">
        <v>71</v>
      </c>
      <c r="C17" s="16" t="s">
        <v>171</v>
      </c>
      <c r="E17" s="43" t="s">
        <v>57</v>
      </c>
      <c r="F17" s="45">
        <v>120.0</v>
      </c>
      <c r="G17" s="48">
        <v>168.0</v>
      </c>
      <c r="H17" s="50">
        <v>200.0</v>
      </c>
      <c r="I17" s="52">
        <f t="shared" si="1"/>
        <v>20160</v>
      </c>
    </row>
    <row r="18">
      <c r="A18" s="42" t="s">
        <v>71</v>
      </c>
      <c r="C18" s="16" t="s">
        <v>175</v>
      </c>
      <c r="E18" s="43" t="s">
        <v>57</v>
      </c>
      <c r="F18" s="45">
        <v>120.0</v>
      </c>
      <c r="G18" s="48">
        <v>168.0</v>
      </c>
      <c r="H18" s="50">
        <v>200.0</v>
      </c>
      <c r="I18" s="52">
        <f t="shared" si="1"/>
        <v>20160</v>
      </c>
    </row>
    <row r="19">
      <c r="A19" s="42" t="s">
        <v>71</v>
      </c>
      <c r="C19" s="16" t="s">
        <v>178</v>
      </c>
      <c r="E19" s="43" t="s">
        <v>57</v>
      </c>
      <c r="F19" s="45">
        <v>120.0</v>
      </c>
      <c r="G19" s="48">
        <v>168.0</v>
      </c>
      <c r="H19" s="50">
        <v>200.0</v>
      </c>
      <c r="I19" s="52">
        <f t="shared" si="1"/>
        <v>20160</v>
      </c>
    </row>
    <row r="20">
      <c r="A20" s="42" t="s">
        <v>71</v>
      </c>
      <c r="C20" s="16" t="s">
        <v>179</v>
      </c>
      <c r="E20" s="43" t="s">
        <v>57</v>
      </c>
      <c r="F20" s="45">
        <v>120.0</v>
      </c>
      <c r="G20" s="48">
        <v>168.0</v>
      </c>
      <c r="H20" s="50">
        <v>200.0</v>
      </c>
      <c r="I20" s="52">
        <f t="shared" si="1"/>
        <v>20160</v>
      </c>
    </row>
    <row r="21">
      <c r="A21" s="42" t="s">
        <v>71</v>
      </c>
      <c r="C21" s="16" t="s">
        <v>181</v>
      </c>
      <c r="E21" s="43" t="s">
        <v>57</v>
      </c>
      <c r="F21" s="45">
        <v>120.0</v>
      </c>
      <c r="G21" s="48">
        <v>168.0</v>
      </c>
      <c r="H21" s="50">
        <v>200.0</v>
      </c>
      <c r="I21" s="52">
        <f t="shared" si="1"/>
        <v>20160</v>
      </c>
    </row>
    <row r="22">
      <c r="A22" s="42" t="s">
        <v>71</v>
      </c>
      <c r="C22" s="16" t="s">
        <v>184</v>
      </c>
      <c r="E22" s="43" t="s">
        <v>57</v>
      </c>
      <c r="F22" s="45">
        <v>120.0</v>
      </c>
      <c r="G22" s="48">
        <v>168.0</v>
      </c>
      <c r="H22" s="50">
        <v>200.0</v>
      </c>
      <c r="I22" s="52">
        <f t="shared" si="1"/>
        <v>20160</v>
      </c>
    </row>
    <row r="23">
      <c r="A23" s="42" t="s">
        <v>71</v>
      </c>
      <c r="C23" s="16" t="s">
        <v>188</v>
      </c>
      <c r="E23" s="43" t="s">
        <v>57</v>
      </c>
      <c r="F23" s="45">
        <v>120.0</v>
      </c>
      <c r="G23" s="48">
        <v>168.0</v>
      </c>
      <c r="H23" s="50">
        <v>200.0</v>
      </c>
      <c r="I23" s="52">
        <f t="shared" si="1"/>
        <v>20160</v>
      </c>
    </row>
    <row r="24">
      <c r="A24" s="42" t="s">
        <v>71</v>
      </c>
      <c r="C24" s="16" t="s">
        <v>191</v>
      </c>
      <c r="E24" s="43" t="s">
        <v>57</v>
      </c>
      <c r="F24" s="45">
        <v>120.0</v>
      </c>
      <c r="G24" s="48">
        <v>168.0</v>
      </c>
      <c r="H24" s="50">
        <v>200.0</v>
      </c>
      <c r="I24" s="52">
        <f t="shared" si="1"/>
        <v>20160</v>
      </c>
    </row>
    <row r="25">
      <c r="A25" s="42" t="s">
        <v>71</v>
      </c>
      <c r="C25" s="16" t="s">
        <v>192</v>
      </c>
      <c r="E25" s="43" t="s">
        <v>57</v>
      </c>
      <c r="F25" s="45">
        <v>120.0</v>
      </c>
      <c r="G25" s="48">
        <v>168.0</v>
      </c>
      <c r="H25" s="50">
        <v>200.0</v>
      </c>
      <c r="I25" s="52">
        <f t="shared" si="1"/>
        <v>20160</v>
      </c>
    </row>
    <row r="26">
      <c r="A26" s="42" t="s">
        <v>71</v>
      </c>
      <c r="C26" s="16" t="s">
        <v>196</v>
      </c>
      <c r="E26" s="43" t="s">
        <v>57</v>
      </c>
      <c r="F26" s="45">
        <v>120.0</v>
      </c>
      <c r="G26" s="48">
        <v>168.0</v>
      </c>
      <c r="H26" s="50">
        <v>200.0</v>
      </c>
      <c r="I26" s="52">
        <f t="shared" si="1"/>
        <v>20160</v>
      </c>
    </row>
    <row r="27">
      <c r="A27" s="42" t="s">
        <v>71</v>
      </c>
      <c r="C27" s="16" t="s">
        <v>198</v>
      </c>
      <c r="E27" s="43" t="s">
        <v>57</v>
      </c>
      <c r="F27" s="45">
        <v>120.0</v>
      </c>
      <c r="G27" s="48">
        <v>168.0</v>
      </c>
      <c r="H27" s="50">
        <v>200.0</v>
      </c>
      <c r="I27" s="52">
        <f t="shared" si="1"/>
        <v>20160</v>
      </c>
    </row>
    <row r="28">
      <c r="A28" s="42" t="s">
        <v>71</v>
      </c>
      <c r="C28" s="16" t="s">
        <v>199</v>
      </c>
      <c r="E28" s="43" t="s">
        <v>57</v>
      </c>
      <c r="F28" s="45">
        <v>120.0</v>
      </c>
      <c r="G28" s="48">
        <v>168.0</v>
      </c>
      <c r="H28" s="50">
        <v>200.0</v>
      </c>
      <c r="I28" s="52">
        <f t="shared" si="1"/>
        <v>20160</v>
      </c>
    </row>
    <row r="29">
      <c r="A29" s="42" t="s">
        <v>71</v>
      </c>
      <c r="C29" s="16" t="s">
        <v>200</v>
      </c>
      <c r="E29" s="43" t="s">
        <v>57</v>
      </c>
      <c r="F29" s="45">
        <v>120.0</v>
      </c>
      <c r="G29" s="48">
        <v>168.0</v>
      </c>
      <c r="H29" s="50">
        <v>200.0</v>
      </c>
      <c r="I29" s="52">
        <f t="shared" si="1"/>
        <v>20160</v>
      </c>
    </row>
    <row r="30">
      <c r="A30" s="42" t="s">
        <v>71</v>
      </c>
      <c r="C30" s="16" t="s">
        <v>201</v>
      </c>
      <c r="E30" s="43" t="s">
        <v>57</v>
      </c>
      <c r="F30" s="45">
        <v>120.0</v>
      </c>
      <c r="G30" s="48">
        <v>168.0</v>
      </c>
      <c r="H30" s="50">
        <v>200.0</v>
      </c>
      <c r="I30" s="52">
        <f t="shared" si="1"/>
        <v>20160</v>
      </c>
    </row>
    <row r="31">
      <c r="A31" s="42" t="s">
        <v>71</v>
      </c>
      <c r="C31" s="16" t="s">
        <v>202</v>
      </c>
      <c r="E31" s="43" t="s">
        <v>57</v>
      </c>
      <c r="F31" s="45">
        <v>120.0</v>
      </c>
      <c r="G31" s="48">
        <v>168.0</v>
      </c>
      <c r="H31" s="50">
        <v>200.0</v>
      </c>
      <c r="I31" s="52">
        <f t="shared" si="1"/>
        <v>20160</v>
      </c>
    </row>
    <row r="32">
      <c r="A32" s="42" t="s">
        <v>71</v>
      </c>
      <c r="C32" s="16" t="s">
        <v>203</v>
      </c>
      <c r="E32" s="43" t="s">
        <v>57</v>
      </c>
      <c r="F32" s="45">
        <v>120.0</v>
      </c>
      <c r="G32" s="48">
        <v>168.0</v>
      </c>
      <c r="H32" s="50">
        <v>200.0</v>
      </c>
      <c r="I32" s="52">
        <f t="shared" si="1"/>
        <v>20160</v>
      </c>
    </row>
    <row r="33">
      <c r="A33" s="42" t="s">
        <v>71</v>
      </c>
      <c r="C33" s="16" t="s">
        <v>204</v>
      </c>
      <c r="E33" s="43" t="s">
        <v>57</v>
      </c>
      <c r="F33" s="45">
        <v>120.0</v>
      </c>
      <c r="G33" s="48">
        <v>168.0</v>
      </c>
      <c r="H33" s="50">
        <v>200.0</v>
      </c>
      <c r="I33" s="52">
        <f t="shared" si="1"/>
        <v>20160</v>
      </c>
    </row>
    <row r="34">
      <c r="A34" s="42" t="s">
        <v>71</v>
      </c>
      <c r="C34" s="16" t="s">
        <v>205</v>
      </c>
      <c r="E34" s="43" t="s">
        <v>57</v>
      </c>
      <c r="F34" s="45">
        <v>120.0</v>
      </c>
      <c r="G34" s="48">
        <v>168.0</v>
      </c>
      <c r="H34" s="50">
        <v>200.0</v>
      </c>
      <c r="I34" s="52">
        <f t="shared" si="1"/>
        <v>20160</v>
      </c>
    </row>
    <row r="35">
      <c r="A35" s="42" t="s">
        <v>71</v>
      </c>
      <c r="C35" s="16" t="s">
        <v>206</v>
      </c>
      <c r="E35" s="43" t="s">
        <v>57</v>
      </c>
      <c r="F35" s="45">
        <v>120.0</v>
      </c>
      <c r="G35" s="48">
        <v>168.0</v>
      </c>
      <c r="H35" s="50">
        <v>200.0</v>
      </c>
      <c r="I35" s="52">
        <f t="shared" si="1"/>
        <v>20160</v>
      </c>
    </row>
    <row r="36">
      <c r="A36" s="42" t="s">
        <v>71</v>
      </c>
      <c r="C36" s="16" t="s">
        <v>207</v>
      </c>
      <c r="E36" s="43" t="s">
        <v>57</v>
      </c>
      <c r="F36" s="45">
        <v>120.0</v>
      </c>
      <c r="G36" s="48">
        <v>168.0</v>
      </c>
      <c r="H36" s="50">
        <v>200.0</v>
      </c>
      <c r="I36" s="52">
        <f t="shared" si="1"/>
        <v>20160</v>
      </c>
    </row>
    <row r="37">
      <c r="A37" s="42" t="s">
        <v>71</v>
      </c>
      <c r="C37" s="16" t="s">
        <v>208</v>
      </c>
      <c r="E37" s="43" t="s">
        <v>57</v>
      </c>
      <c r="F37" s="45">
        <v>120.0</v>
      </c>
      <c r="G37" s="48">
        <v>168.0</v>
      </c>
      <c r="H37" s="50">
        <v>200.0</v>
      </c>
      <c r="I37" s="52">
        <f t="shared" si="1"/>
        <v>20160</v>
      </c>
    </row>
    <row r="38">
      <c r="A38" s="42" t="s">
        <v>71</v>
      </c>
      <c r="C38" s="16" t="s">
        <v>209</v>
      </c>
      <c r="E38" s="43" t="s">
        <v>57</v>
      </c>
      <c r="F38" s="45">
        <v>120.0</v>
      </c>
      <c r="G38" s="48">
        <v>168.0</v>
      </c>
      <c r="H38" s="50">
        <v>200.0</v>
      </c>
      <c r="I38" s="52">
        <f t="shared" si="1"/>
        <v>20160</v>
      </c>
    </row>
    <row r="39">
      <c r="A39" s="42" t="s">
        <v>71</v>
      </c>
      <c r="C39" s="16" t="s">
        <v>210</v>
      </c>
      <c r="E39" s="43" t="s">
        <v>57</v>
      </c>
      <c r="F39" s="45">
        <v>120.0</v>
      </c>
      <c r="G39" s="48">
        <v>168.0</v>
      </c>
      <c r="H39" s="50">
        <v>200.0</v>
      </c>
      <c r="I39" s="52">
        <f t="shared" si="1"/>
        <v>20160</v>
      </c>
    </row>
    <row r="40">
      <c r="A40" s="42" t="s">
        <v>71</v>
      </c>
      <c r="C40" s="16" t="s">
        <v>211</v>
      </c>
      <c r="E40" s="43" t="s">
        <v>57</v>
      </c>
      <c r="F40" s="45">
        <v>120.0</v>
      </c>
      <c r="G40" s="48">
        <v>168.0</v>
      </c>
      <c r="H40" s="50">
        <v>200.0</v>
      </c>
      <c r="I40" s="52">
        <f t="shared" si="1"/>
        <v>20160</v>
      </c>
    </row>
    <row r="41">
      <c r="A41" s="42" t="s">
        <v>71</v>
      </c>
      <c r="C41" s="16" t="s">
        <v>212</v>
      </c>
      <c r="E41" s="43" t="s">
        <v>57</v>
      </c>
      <c r="F41" s="45">
        <v>120.0</v>
      </c>
      <c r="G41" s="48">
        <v>168.0</v>
      </c>
      <c r="H41" s="50">
        <v>200.0</v>
      </c>
      <c r="I41" s="52">
        <f t="shared" si="1"/>
        <v>20160</v>
      </c>
    </row>
    <row r="42">
      <c r="A42" s="42" t="s">
        <v>71</v>
      </c>
      <c r="C42" s="16" t="s">
        <v>213</v>
      </c>
      <c r="E42" s="43" t="s">
        <v>57</v>
      </c>
      <c r="F42" s="45">
        <v>120.0</v>
      </c>
      <c r="G42" s="48">
        <v>168.0</v>
      </c>
      <c r="H42" s="50">
        <v>200.0</v>
      </c>
      <c r="I42" s="52">
        <f t="shared" si="1"/>
        <v>20160</v>
      </c>
    </row>
    <row r="43">
      <c r="A43" s="42" t="s">
        <v>71</v>
      </c>
      <c r="C43" s="16" t="s">
        <v>214</v>
      </c>
      <c r="E43" s="43" t="s">
        <v>57</v>
      </c>
      <c r="F43" s="45">
        <v>120.0</v>
      </c>
      <c r="G43" s="48">
        <v>168.0</v>
      </c>
      <c r="H43" s="50">
        <v>200.0</v>
      </c>
      <c r="I43" s="52">
        <f t="shared" si="1"/>
        <v>20160</v>
      </c>
    </row>
    <row r="44">
      <c r="A44" s="42" t="s">
        <v>71</v>
      </c>
      <c r="C44" s="16" t="s">
        <v>215</v>
      </c>
      <c r="E44" s="43" t="s">
        <v>57</v>
      </c>
      <c r="F44" s="45">
        <v>120.0</v>
      </c>
      <c r="G44" s="48">
        <v>168.0</v>
      </c>
      <c r="H44" s="50">
        <v>200.0</v>
      </c>
      <c r="I44" s="52">
        <f t="shared" si="1"/>
        <v>20160</v>
      </c>
    </row>
    <row r="45">
      <c r="A45" s="42" t="s">
        <v>71</v>
      </c>
      <c r="C45" s="16" t="s">
        <v>216</v>
      </c>
      <c r="E45" s="43" t="s">
        <v>57</v>
      </c>
      <c r="F45" s="45">
        <v>120.0</v>
      </c>
      <c r="G45" s="48">
        <v>168.0</v>
      </c>
      <c r="H45" s="50">
        <v>200.0</v>
      </c>
      <c r="I45" s="52">
        <f t="shared" si="1"/>
        <v>20160</v>
      </c>
    </row>
    <row r="46">
      <c r="A46" s="42" t="s">
        <v>71</v>
      </c>
      <c r="C46" s="16" t="s">
        <v>217</v>
      </c>
      <c r="E46" s="43" t="s">
        <v>57</v>
      </c>
      <c r="F46" s="45">
        <v>120.0</v>
      </c>
      <c r="G46" s="48">
        <v>168.0</v>
      </c>
      <c r="H46" s="50">
        <v>200.0</v>
      </c>
      <c r="I46" s="52">
        <f t="shared" si="1"/>
        <v>20160</v>
      </c>
    </row>
    <row r="47">
      <c r="A47" s="42" t="s">
        <v>71</v>
      </c>
      <c r="C47" s="16" t="s">
        <v>218</v>
      </c>
      <c r="E47" s="43" t="s">
        <v>57</v>
      </c>
      <c r="F47" s="45">
        <v>120.0</v>
      </c>
      <c r="G47" s="48">
        <v>168.0</v>
      </c>
      <c r="H47" s="50">
        <v>200.0</v>
      </c>
      <c r="I47" s="52">
        <f t="shared" si="1"/>
        <v>20160</v>
      </c>
    </row>
    <row r="48">
      <c r="A48" s="42" t="s">
        <v>71</v>
      </c>
      <c r="C48" s="16" t="s">
        <v>219</v>
      </c>
      <c r="E48" s="43" t="s">
        <v>57</v>
      </c>
      <c r="F48" s="45">
        <v>120.0</v>
      </c>
      <c r="G48" s="48">
        <v>168.0</v>
      </c>
      <c r="H48" s="50">
        <v>200.0</v>
      </c>
      <c r="I48" s="52">
        <f t="shared" si="1"/>
        <v>20160</v>
      </c>
    </row>
    <row r="49">
      <c r="A49" s="42" t="s">
        <v>71</v>
      </c>
      <c r="C49" s="16" t="s">
        <v>220</v>
      </c>
      <c r="E49" s="43" t="s">
        <v>57</v>
      </c>
      <c r="F49" s="45">
        <v>120.0</v>
      </c>
      <c r="G49" s="48">
        <v>168.0</v>
      </c>
      <c r="H49" s="50">
        <v>200.0</v>
      </c>
      <c r="I49" s="52">
        <f t="shared" si="1"/>
        <v>20160</v>
      </c>
    </row>
    <row r="50">
      <c r="A50" s="42" t="s">
        <v>71</v>
      </c>
      <c r="C50" s="16" t="s">
        <v>221</v>
      </c>
      <c r="E50" s="43" t="s">
        <v>57</v>
      </c>
      <c r="F50" s="45">
        <v>120.0</v>
      </c>
      <c r="G50" s="48">
        <v>168.0</v>
      </c>
      <c r="H50" s="50">
        <v>200.0</v>
      </c>
      <c r="I50" s="52">
        <f t="shared" si="1"/>
        <v>20160</v>
      </c>
    </row>
    <row r="51">
      <c r="A51" s="42" t="s">
        <v>71</v>
      </c>
      <c r="C51" s="16" t="s">
        <v>223</v>
      </c>
      <c r="E51" s="43" t="s">
        <v>57</v>
      </c>
      <c r="F51" s="45">
        <v>120.0</v>
      </c>
      <c r="G51" s="48">
        <v>168.0</v>
      </c>
      <c r="H51" s="50">
        <v>200.0</v>
      </c>
      <c r="I51" s="52">
        <f t="shared" si="1"/>
        <v>20160</v>
      </c>
    </row>
    <row r="52">
      <c r="A52" s="42" t="s">
        <v>71</v>
      </c>
      <c r="C52" s="16" t="s">
        <v>226</v>
      </c>
      <c r="E52" s="43" t="s">
        <v>57</v>
      </c>
      <c r="F52" s="45">
        <v>120.0</v>
      </c>
      <c r="G52" s="48">
        <v>168.0</v>
      </c>
      <c r="H52" s="50">
        <v>200.0</v>
      </c>
      <c r="I52" s="52">
        <f t="shared" si="1"/>
        <v>20160</v>
      </c>
    </row>
    <row r="53">
      <c r="A53" s="42" t="s">
        <v>71</v>
      </c>
      <c r="C53" s="16" t="s">
        <v>234</v>
      </c>
      <c r="E53" s="43" t="s">
        <v>57</v>
      </c>
      <c r="F53" s="45">
        <v>120.0</v>
      </c>
      <c r="G53" s="48">
        <v>168.0</v>
      </c>
      <c r="H53" s="50">
        <v>200.0</v>
      </c>
      <c r="I53" s="52">
        <f t="shared" si="1"/>
        <v>20160</v>
      </c>
    </row>
    <row r="54">
      <c r="A54" s="42" t="s">
        <v>71</v>
      </c>
      <c r="C54" s="16" t="s">
        <v>238</v>
      </c>
      <c r="E54" s="43" t="s">
        <v>57</v>
      </c>
      <c r="F54" s="45">
        <v>120.0</v>
      </c>
      <c r="G54" s="48">
        <v>168.0</v>
      </c>
      <c r="H54" s="50">
        <v>200.0</v>
      </c>
      <c r="I54" s="52">
        <f t="shared" si="1"/>
        <v>20160</v>
      </c>
    </row>
    <row r="55">
      <c r="A55" s="42" t="s">
        <v>71</v>
      </c>
      <c r="C55" s="16" t="s">
        <v>242</v>
      </c>
      <c r="E55" s="43" t="s">
        <v>57</v>
      </c>
      <c r="F55" s="45">
        <v>120.0</v>
      </c>
      <c r="G55" s="48">
        <v>168.0</v>
      </c>
      <c r="H55" s="50">
        <v>200.0</v>
      </c>
      <c r="I55" s="52">
        <f t="shared" si="1"/>
        <v>20160</v>
      </c>
    </row>
    <row r="56">
      <c r="A56" s="42" t="s">
        <v>71</v>
      </c>
      <c r="C56" s="16" t="s">
        <v>245</v>
      </c>
      <c r="E56" s="43" t="s">
        <v>57</v>
      </c>
      <c r="F56" s="45">
        <v>120.0</v>
      </c>
      <c r="G56" s="48">
        <v>168.0</v>
      </c>
      <c r="H56" s="50">
        <v>200.0</v>
      </c>
      <c r="I56" s="52">
        <f t="shared" si="1"/>
        <v>20160</v>
      </c>
    </row>
    <row r="57">
      <c r="A57" s="42" t="s">
        <v>71</v>
      </c>
      <c r="C57" s="16" t="s">
        <v>250</v>
      </c>
      <c r="E57" s="43" t="s">
        <v>57</v>
      </c>
      <c r="F57" s="45">
        <v>120.0</v>
      </c>
      <c r="G57" s="48">
        <v>168.0</v>
      </c>
      <c r="H57" s="50">
        <v>200.0</v>
      </c>
      <c r="I57" s="52">
        <f t="shared" si="1"/>
        <v>20160</v>
      </c>
    </row>
    <row r="58">
      <c r="A58" s="42" t="s">
        <v>71</v>
      </c>
      <c r="C58" s="16" t="s">
        <v>255</v>
      </c>
      <c r="E58" s="43" t="s">
        <v>57</v>
      </c>
      <c r="F58" s="45">
        <v>120.0</v>
      </c>
      <c r="G58" s="48">
        <v>168.0</v>
      </c>
      <c r="H58" s="50">
        <v>200.0</v>
      </c>
      <c r="I58" s="52">
        <f t="shared" si="1"/>
        <v>20160</v>
      </c>
    </row>
    <row r="59">
      <c r="A59" s="42" t="s">
        <v>71</v>
      </c>
      <c r="C59" s="16" t="s">
        <v>263</v>
      </c>
      <c r="E59" s="43" t="s">
        <v>57</v>
      </c>
      <c r="F59" s="45">
        <v>120.0</v>
      </c>
      <c r="G59" s="48">
        <v>168.0</v>
      </c>
      <c r="H59" s="50">
        <v>200.0</v>
      </c>
      <c r="I59" s="52">
        <f t="shared" si="1"/>
        <v>20160</v>
      </c>
    </row>
    <row r="60">
      <c r="A60" s="42" t="s">
        <v>71</v>
      </c>
      <c r="C60" s="16" t="s">
        <v>267</v>
      </c>
      <c r="E60" s="43" t="s">
        <v>57</v>
      </c>
      <c r="F60" s="45">
        <v>120.0</v>
      </c>
      <c r="G60" s="48">
        <v>168.0</v>
      </c>
      <c r="H60" s="50">
        <v>200.0</v>
      </c>
      <c r="I60" s="52">
        <f t="shared" si="1"/>
        <v>20160</v>
      </c>
    </row>
    <row r="61">
      <c r="A61" s="42" t="s">
        <v>71</v>
      </c>
      <c r="C61" s="16" t="s">
        <v>270</v>
      </c>
      <c r="E61" s="43" t="s">
        <v>57</v>
      </c>
      <c r="F61" s="45">
        <v>120.0</v>
      </c>
      <c r="G61" s="48">
        <v>168.0</v>
      </c>
      <c r="H61" s="50">
        <v>200.0</v>
      </c>
      <c r="I61" s="52">
        <f t="shared" si="1"/>
        <v>20160</v>
      </c>
    </row>
    <row r="62">
      <c r="A62" s="30"/>
    </row>
    <row r="63">
      <c r="A63" s="83" t="s">
        <v>275</v>
      </c>
      <c r="C63" s="55" t="s">
        <v>278</v>
      </c>
      <c r="E63" s="84" t="s">
        <v>57</v>
      </c>
      <c r="F63" s="37">
        <v>150.0</v>
      </c>
      <c r="G63" s="86">
        <v>84.0</v>
      </c>
      <c r="H63" s="87">
        <v>150.0</v>
      </c>
      <c r="I63" s="89">
        <f t="shared" ref="I63:I115" si="2">F63*G63</f>
        <v>12600</v>
      </c>
      <c r="M63" s="90"/>
      <c r="O63" s="92" t="str">
        <f t="shared" ref="O63:O122" si="3">PROPER(M63)</f>
        <v/>
      </c>
      <c r="Q63" s="92" t="str">
        <f>O64&amp;P64</f>
        <v/>
      </c>
    </row>
    <row r="64">
      <c r="A64" s="83" t="s">
        <v>275</v>
      </c>
      <c r="C64" s="55" t="s">
        <v>311</v>
      </c>
      <c r="E64" s="84" t="s">
        <v>57</v>
      </c>
      <c r="F64" s="37">
        <v>150.0</v>
      </c>
      <c r="G64" s="86">
        <v>84.0</v>
      </c>
      <c r="H64" s="87">
        <v>150.0</v>
      </c>
      <c r="I64" s="89">
        <f t="shared" si="2"/>
        <v>12600</v>
      </c>
      <c r="M64" s="90"/>
      <c r="O64" s="92" t="str">
        <f t="shared" si="3"/>
        <v/>
      </c>
    </row>
    <row r="65">
      <c r="A65" s="83" t="s">
        <v>275</v>
      </c>
      <c r="C65" s="55" t="s">
        <v>315</v>
      </c>
      <c r="E65" s="84" t="s">
        <v>57</v>
      </c>
      <c r="F65" s="37">
        <v>150.0</v>
      </c>
      <c r="G65" s="86">
        <v>84.0</v>
      </c>
      <c r="H65" s="87">
        <v>150.0</v>
      </c>
      <c r="I65" s="89">
        <f t="shared" si="2"/>
        <v>12600</v>
      </c>
      <c r="M65" s="90"/>
      <c r="O65" s="92" t="str">
        <f t="shared" si="3"/>
        <v/>
      </c>
    </row>
    <row r="66">
      <c r="A66" s="83" t="s">
        <v>275</v>
      </c>
      <c r="C66" s="55" t="s">
        <v>323</v>
      </c>
      <c r="E66" s="84" t="s">
        <v>57</v>
      </c>
      <c r="F66" s="37">
        <v>150.0</v>
      </c>
      <c r="G66" s="86">
        <v>84.0</v>
      </c>
      <c r="H66" s="87">
        <v>150.0</v>
      </c>
      <c r="I66" s="89">
        <f t="shared" si="2"/>
        <v>12600</v>
      </c>
      <c r="M66" s="90"/>
      <c r="O66" s="92" t="str">
        <f t="shared" si="3"/>
        <v/>
      </c>
    </row>
    <row r="67">
      <c r="A67" s="83" t="s">
        <v>275</v>
      </c>
      <c r="C67" s="55" t="s">
        <v>329</v>
      </c>
      <c r="E67" s="84" t="s">
        <v>57</v>
      </c>
      <c r="F67" s="37">
        <v>150.0</v>
      </c>
      <c r="G67" s="86">
        <v>84.0</v>
      </c>
      <c r="H67" s="87">
        <v>150.0</v>
      </c>
      <c r="I67" s="89">
        <f t="shared" si="2"/>
        <v>12600</v>
      </c>
      <c r="M67" s="90"/>
      <c r="O67" s="92" t="str">
        <f t="shared" si="3"/>
        <v/>
      </c>
    </row>
    <row r="68">
      <c r="A68" s="83" t="s">
        <v>275</v>
      </c>
      <c r="C68" s="55" t="s">
        <v>337</v>
      </c>
      <c r="E68" s="84" t="s">
        <v>57</v>
      </c>
      <c r="F68" s="37">
        <v>150.0</v>
      </c>
      <c r="G68" s="86">
        <v>84.0</v>
      </c>
      <c r="H68" s="87">
        <v>150.0</v>
      </c>
      <c r="I68" s="89">
        <f t="shared" si="2"/>
        <v>12600</v>
      </c>
      <c r="M68" s="90"/>
      <c r="O68" s="92" t="str">
        <f t="shared" si="3"/>
        <v/>
      </c>
    </row>
    <row r="69">
      <c r="A69" s="83" t="s">
        <v>275</v>
      </c>
      <c r="C69" s="55" t="s">
        <v>341</v>
      </c>
      <c r="E69" s="84" t="s">
        <v>57</v>
      </c>
      <c r="F69" s="37">
        <v>150.0</v>
      </c>
      <c r="G69" s="86">
        <v>84.0</v>
      </c>
      <c r="H69" s="87">
        <v>150.0</v>
      </c>
      <c r="I69" s="89">
        <f t="shared" si="2"/>
        <v>12600</v>
      </c>
      <c r="M69" s="90"/>
      <c r="O69" s="92" t="str">
        <f t="shared" si="3"/>
        <v/>
      </c>
    </row>
    <row r="70">
      <c r="A70" s="83" t="s">
        <v>275</v>
      </c>
      <c r="C70" s="55" t="s">
        <v>346</v>
      </c>
      <c r="E70" s="84" t="s">
        <v>57</v>
      </c>
      <c r="F70" s="37">
        <v>150.0</v>
      </c>
      <c r="G70" s="86">
        <v>84.0</v>
      </c>
      <c r="H70" s="87">
        <v>150.0</v>
      </c>
      <c r="I70" s="89">
        <f t="shared" si="2"/>
        <v>12600</v>
      </c>
      <c r="M70" s="90"/>
      <c r="O70" s="92" t="str">
        <f t="shared" si="3"/>
        <v/>
      </c>
    </row>
    <row r="71">
      <c r="A71" s="83" t="s">
        <v>275</v>
      </c>
      <c r="C71" s="55" t="s">
        <v>351</v>
      </c>
      <c r="E71" s="84" t="s">
        <v>57</v>
      </c>
      <c r="F71" s="37">
        <v>150.0</v>
      </c>
      <c r="G71" s="86">
        <v>84.0</v>
      </c>
      <c r="H71" s="87">
        <v>150.0</v>
      </c>
      <c r="I71" s="89">
        <f t="shared" si="2"/>
        <v>12600</v>
      </c>
      <c r="M71" s="90"/>
      <c r="O71" s="92" t="str">
        <f t="shared" si="3"/>
        <v/>
      </c>
    </row>
    <row r="72">
      <c r="A72" s="83" t="s">
        <v>275</v>
      </c>
      <c r="C72" s="55" t="s">
        <v>355</v>
      </c>
      <c r="E72" s="84" t="s">
        <v>57</v>
      </c>
      <c r="F72" s="37">
        <v>150.0</v>
      </c>
      <c r="G72" s="86">
        <v>84.0</v>
      </c>
      <c r="H72" s="87">
        <v>150.0</v>
      </c>
      <c r="I72" s="89">
        <f t="shared" si="2"/>
        <v>12600</v>
      </c>
      <c r="M72" s="90"/>
      <c r="O72" s="92" t="str">
        <f t="shared" si="3"/>
        <v/>
      </c>
    </row>
    <row r="73">
      <c r="A73" s="83" t="s">
        <v>275</v>
      </c>
      <c r="C73" s="55" t="s">
        <v>357</v>
      </c>
      <c r="E73" s="84" t="s">
        <v>57</v>
      </c>
      <c r="F73" s="37">
        <v>150.0</v>
      </c>
      <c r="G73" s="86">
        <v>84.0</v>
      </c>
      <c r="H73" s="87">
        <v>150.0</v>
      </c>
      <c r="I73" s="89">
        <f t="shared" si="2"/>
        <v>12600</v>
      </c>
      <c r="M73" s="90"/>
      <c r="O73" s="92" t="str">
        <f t="shared" si="3"/>
        <v/>
      </c>
    </row>
    <row r="74">
      <c r="A74" s="83" t="s">
        <v>275</v>
      </c>
      <c r="C74" s="55" t="s">
        <v>361</v>
      </c>
      <c r="E74" s="84" t="s">
        <v>57</v>
      </c>
      <c r="F74" s="37">
        <v>150.0</v>
      </c>
      <c r="G74" s="86">
        <v>84.0</v>
      </c>
      <c r="H74" s="87">
        <v>150.0</v>
      </c>
      <c r="I74" s="89">
        <f t="shared" si="2"/>
        <v>12600</v>
      </c>
      <c r="M74" s="90"/>
      <c r="O74" s="92" t="str">
        <f t="shared" si="3"/>
        <v/>
      </c>
    </row>
    <row r="75">
      <c r="A75" s="83" t="s">
        <v>275</v>
      </c>
      <c r="C75" s="55" t="s">
        <v>363</v>
      </c>
      <c r="E75" s="84" t="s">
        <v>57</v>
      </c>
      <c r="F75" s="37">
        <v>150.0</v>
      </c>
      <c r="G75" s="86">
        <v>84.0</v>
      </c>
      <c r="H75" s="87">
        <v>150.0</v>
      </c>
      <c r="I75" s="89">
        <f t="shared" si="2"/>
        <v>12600</v>
      </c>
      <c r="M75" s="90"/>
      <c r="O75" s="92" t="str">
        <f t="shared" si="3"/>
        <v/>
      </c>
    </row>
    <row r="76">
      <c r="A76" s="83" t="s">
        <v>275</v>
      </c>
      <c r="C76" s="55" t="s">
        <v>370</v>
      </c>
      <c r="E76" s="84" t="s">
        <v>57</v>
      </c>
      <c r="F76" s="37">
        <v>150.0</v>
      </c>
      <c r="G76" s="86">
        <v>84.0</v>
      </c>
      <c r="H76" s="87">
        <v>150.0</v>
      </c>
      <c r="I76" s="89">
        <f t="shared" si="2"/>
        <v>12600</v>
      </c>
      <c r="M76" s="90"/>
      <c r="O76" s="92" t="str">
        <f t="shared" si="3"/>
        <v/>
      </c>
    </row>
    <row r="77">
      <c r="A77" s="83" t="s">
        <v>275</v>
      </c>
      <c r="C77" s="55" t="s">
        <v>377</v>
      </c>
      <c r="E77" s="84" t="s">
        <v>57</v>
      </c>
      <c r="F77" s="37">
        <v>150.0</v>
      </c>
      <c r="G77" s="86">
        <v>84.0</v>
      </c>
      <c r="H77" s="87">
        <v>150.0</v>
      </c>
      <c r="I77" s="89">
        <f t="shared" si="2"/>
        <v>12600</v>
      </c>
      <c r="M77" s="90"/>
      <c r="O77" s="92" t="str">
        <f t="shared" si="3"/>
        <v/>
      </c>
    </row>
    <row r="78">
      <c r="A78" s="83" t="s">
        <v>275</v>
      </c>
      <c r="C78" s="55" t="s">
        <v>384</v>
      </c>
      <c r="E78" s="84" t="s">
        <v>57</v>
      </c>
      <c r="F78" s="37">
        <v>150.0</v>
      </c>
      <c r="G78" s="86">
        <v>84.0</v>
      </c>
      <c r="H78" s="87">
        <v>150.0</v>
      </c>
      <c r="I78" s="89">
        <f t="shared" si="2"/>
        <v>12600</v>
      </c>
      <c r="M78" s="90"/>
      <c r="O78" s="92" t="str">
        <f t="shared" si="3"/>
        <v/>
      </c>
    </row>
    <row r="79">
      <c r="A79" s="83" t="s">
        <v>275</v>
      </c>
      <c r="C79" s="55" t="s">
        <v>389</v>
      </c>
      <c r="E79" s="84" t="s">
        <v>57</v>
      </c>
      <c r="F79" s="37">
        <v>150.0</v>
      </c>
      <c r="G79" s="86">
        <v>84.0</v>
      </c>
      <c r="H79" s="87">
        <v>150.0</v>
      </c>
      <c r="I79" s="89">
        <f t="shared" si="2"/>
        <v>12600</v>
      </c>
      <c r="M79" s="90"/>
      <c r="O79" s="92" t="str">
        <f t="shared" si="3"/>
        <v/>
      </c>
    </row>
    <row r="80">
      <c r="A80" s="83" t="s">
        <v>275</v>
      </c>
      <c r="C80" s="55" t="s">
        <v>398</v>
      </c>
      <c r="E80" s="84" t="s">
        <v>57</v>
      </c>
      <c r="F80" s="37">
        <v>150.0</v>
      </c>
      <c r="G80" s="86">
        <v>84.0</v>
      </c>
      <c r="H80" s="87">
        <v>150.0</v>
      </c>
      <c r="I80" s="89">
        <f t="shared" si="2"/>
        <v>12600</v>
      </c>
      <c r="M80" s="90"/>
      <c r="O80" s="92" t="str">
        <f t="shared" si="3"/>
        <v/>
      </c>
    </row>
    <row r="81">
      <c r="A81" s="83" t="s">
        <v>275</v>
      </c>
      <c r="C81" s="55" t="s">
        <v>404</v>
      </c>
      <c r="E81" s="84" t="s">
        <v>57</v>
      </c>
      <c r="F81" s="37">
        <v>150.0</v>
      </c>
      <c r="G81" s="86">
        <v>84.0</v>
      </c>
      <c r="H81" s="87">
        <v>150.0</v>
      </c>
      <c r="I81" s="89">
        <f t="shared" si="2"/>
        <v>12600</v>
      </c>
      <c r="M81" s="90"/>
      <c r="O81" s="92" t="str">
        <f t="shared" si="3"/>
        <v/>
      </c>
    </row>
    <row r="82">
      <c r="A82" s="83" t="s">
        <v>275</v>
      </c>
      <c r="C82" s="55" t="s">
        <v>410</v>
      </c>
      <c r="E82" s="84" t="s">
        <v>57</v>
      </c>
      <c r="F82" s="37">
        <v>150.0</v>
      </c>
      <c r="G82" s="86">
        <v>84.0</v>
      </c>
      <c r="H82" s="87">
        <v>150.0</v>
      </c>
      <c r="I82" s="89">
        <f t="shared" si="2"/>
        <v>12600</v>
      </c>
      <c r="M82" s="90"/>
      <c r="O82" s="92" t="str">
        <f t="shared" si="3"/>
        <v/>
      </c>
    </row>
    <row r="83">
      <c r="A83" s="83" t="s">
        <v>275</v>
      </c>
      <c r="C83" s="55" t="s">
        <v>415</v>
      </c>
      <c r="E83" s="84" t="s">
        <v>57</v>
      </c>
      <c r="F83" s="37">
        <v>150.0</v>
      </c>
      <c r="G83" s="86">
        <v>84.0</v>
      </c>
      <c r="H83" s="87">
        <v>150.0</v>
      </c>
      <c r="I83" s="89">
        <f t="shared" si="2"/>
        <v>12600</v>
      </c>
      <c r="M83" s="90"/>
      <c r="O83" s="92" t="str">
        <f t="shared" si="3"/>
        <v/>
      </c>
    </row>
    <row r="84">
      <c r="A84" s="83" t="s">
        <v>275</v>
      </c>
      <c r="C84" s="55" t="s">
        <v>418</v>
      </c>
      <c r="E84" s="84" t="s">
        <v>57</v>
      </c>
      <c r="F84" s="37">
        <v>150.0</v>
      </c>
      <c r="G84" s="86">
        <v>84.0</v>
      </c>
      <c r="H84" s="87">
        <v>150.0</v>
      </c>
      <c r="I84" s="89">
        <f t="shared" si="2"/>
        <v>12600</v>
      </c>
      <c r="M84" s="90"/>
      <c r="O84" s="92" t="str">
        <f t="shared" si="3"/>
        <v/>
      </c>
    </row>
    <row r="85">
      <c r="A85" s="83" t="s">
        <v>275</v>
      </c>
      <c r="C85" s="55" t="s">
        <v>423</v>
      </c>
      <c r="D85" s="100"/>
      <c r="E85" s="84" t="s">
        <v>57</v>
      </c>
      <c r="F85" s="37">
        <v>150.0</v>
      </c>
      <c r="G85" s="86">
        <v>84.0</v>
      </c>
      <c r="H85" s="87">
        <v>150.0</v>
      </c>
      <c r="I85" s="89">
        <f t="shared" si="2"/>
        <v>12600</v>
      </c>
      <c r="M85" s="90"/>
      <c r="O85" s="92" t="str">
        <f t="shared" si="3"/>
        <v/>
      </c>
    </row>
    <row r="86">
      <c r="A86" s="83" t="s">
        <v>275</v>
      </c>
      <c r="C86" s="55" t="s">
        <v>429</v>
      </c>
      <c r="E86" s="84" t="s">
        <v>57</v>
      </c>
      <c r="F86" s="37">
        <v>150.0</v>
      </c>
      <c r="G86" s="86">
        <v>84.0</v>
      </c>
      <c r="H86" s="87">
        <v>150.0</v>
      </c>
      <c r="I86" s="89">
        <f t="shared" si="2"/>
        <v>12600</v>
      </c>
      <c r="M86" s="90"/>
      <c r="O86" s="92" t="str">
        <f t="shared" si="3"/>
        <v/>
      </c>
    </row>
    <row r="87">
      <c r="A87" s="83" t="s">
        <v>275</v>
      </c>
      <c r="C87" s="55" t="s">
        <v>434</v>
      </c>
      <c r="E87" s="84" t="s">
        <v>57</v>
      </c>
      <c r="F87" s="37">
        <v>150.0</v>
      </c>
      <c r="G87" s="86">
        <v>84.0</v>
      </c>
      <c r="H87" s="87">
        <v>150.0</v>
      </c>
      <c r="I87" s="89">
        <f t="shared" si="2"/>
        <v>12600</v>
      </c>
      <c r="M87" s="90"/>
      <c r="O87" s="92" t="str">
        <f t="shared" si="3"/>
        <v/>
      </c>
    </row>
    <row r="88">
      <c r="A88" s="83" t="s">
        <v>275</v>
      </c>
      <c r="C88" s="55" t="s">
        <v>439</v>
      </c>
      <c r="E88" s="84" t="s">
        <v>57</v>
      </c>
      <c r="F88" s="37">
        <v>150.0</v>
      </c>
      <c r="G88" s="86">
        <v>84.0</v>
      </c>
      <c r="H88" s="87">
        <v>150.0</v>
      </c>
      <c r="I88" s="89">
        <f t="shared" si="2"/>
        <v>12600</v>
      </c>
      <c r="M88" s="90"/>
      <c r="O88" s="92" t="str">
        <f t="shared" si="3"/>
        <v/>
      </c>
    </row>
    <row r="89">
      <c r="A89" s="83" t="s">
        <v>275</v>
      </c>
      <c r="C89" s="55" t="s">
        <v>444</v>
      </c>
      <c r="E89" s="84" t="s">
        <v>57</v>
      </c>
      <c r="F89" s="37">
        <v>150.0</v>
      </c>
      <c r="G89" s="86">
        <v>84.0</v>
      </c>
      <c r="H89" s="87">
        <v>150.0</v>
      </c>
      <c r="I89" s="89">
        <f t="shared" si="2"/>
        <v>12600</v>
      </c>
      <c r="M89" s="90"/>
      <c r="O89" s="92" t="str">
        <f t="shared" si="3"/>
        <v/>
      </c>
    </row>
    <row r="90">
      <c r="A90" s="83" t="s">
        <v>275</v>
      </c>
      <c r="C90" s="55" t="s">
        <v>450</v>
      </c>
      <c r="E90" s="84" t="s">
        <v>57</v>
      </c>
      <c r="F90" s="37">
        <v>150.0</v>
      </c>
      <c r="G90" s="86">
        <v>84.0</v>
      </c>
      <c r="H90" s="87">
        <v>150.0</v>
      </c>
      <c r="I90" s="89">
        <f t="shared" si="2"/>
        <v>12600</v>
      </c>
      <c r="M90" s="90"/>
      <c r="O90" s="92" t="str">
        <f t="shared" si="3"/>
        <v/>
      </c>
    </row>
    <row r="91">
      <c r="A91" s="83" t="s">
        <v>275</v>
      </c>
      <c r="C91" s="55" t="s">
        <v>456</v>
      </c>
      <c r="E91" s="84" t="s">
        <v>57</v>
      </c>
      <c r="F91" s="37">
        <v>150.0</v>
      </c>
      <c r="G91" s="86">
        <v>84.0</v>
      </c>
      <c r="H91" s="87">
        <v>150.0</v>
      </c>
      <c r="I91" s="89">
        <f t="shared" si="2"/>
        <v>12600</v>
      </c>
      <c r="M91" s="90"/>
      <c r="O91" s="92" t="str">
        <f t="shared" si="3"/>
        <v/>
      </c>
    </row>
    <row r="92">
      <c r="A92" s="83" t="s">
        <v>275</v>
      </c>
      <c r="C92" s="55" t="s">
        <v>459</v>
      </c>
      <c r="E92" s="84" t="s">
        <v>57</v>
      </c>
      <c r="F92" s="37">
        <v>150.0</v>
      </c>
      <c r="G92" s="86">
        <v>84.0</v>
      </c>
      <c r="H92" s="87">
        <v>150.0</v>
      </c>
      <c r="I92" s="89">
        <f t="shared" si="2"/>
        <v>12600</v>
      </c>
      <c r="M92" s="90"/>
      <c r="O92" s="92" t="str">
        <f t="shared" si="3"/>
        <v/>
      </c>
    </row>
    <row r="93">
      <c r="A93" s="83" t="s">
        <v>275</v>
      </c>
      <c r="C93" s="55" t="s">
        <v>466</v>
      </c>
      <c r="E93" s="84" t="s">
        <v>57</v>
      </c>
      <c r="F93" s="37">
        <v>150.0</v>
      </c>
      <c r="G93" s="86">
        <v>84.0</v>
      </c>
      <c r="H93" s="87">
        <v>150.0</v>
      </c>
      <c r="I93" s="89">
        <f t="shared" si="2"/>
        <v>12600</v>
      </c>
      <c r="M93" s="90"/>
      <c r="O93" s="92" t="str">
        <f t="shared" si="3"/>
        <v/>
      </c>
    </row>
    <row r="94">
      <c r="A94" s="83" t="s">
        <v>275</v>
      </c>
      <c r="C94" s="55" t="s">
        <v>472</v>
      </c>
      <c r="E94" s="84" t="s">
        <v>57</v>
      </c>
      <c r="F94" s="37">
        <v>150.0</v>
      </c>
      <c r="G94" s="86">
        <v>84.0</v>
      </c>
      <c r="H94" s="87">
        <v>150.0</v>
      </c>
      <c r="I94" s="89">
        <f t="shared" si="2"/>
        <v>12600</v>
      </c>
      <c r="M94" s="90"/>
      <c r="O94" s="92" t="str">
        <f t="shared" si="3"/>
        <v/>
      </c>
    </row>
    <row r="95">
      <c r="A95" s="83" t="s">
        <v>275</v>
      </c>
      <c r="C95" s="55" t="s">
        <v>477</v>
      </c>
      <c r="E95" s="84" t="s">
        <v>57</v>
      </c>
      <c r="F95" s="37">
        <v>150.0</v>
      </c>
      <c r="G95" s="86">
        <v>84.0</v>
      </c>
      <c r="H95" s="87">
        <v>150.0</v>
      </c>
      <c r="I95" s="89">
        <f t="shared" si="2"/>
        <v>12600</v>
      </c>
      <c r="M95" s="90"/>
      <c r="O95" s="92" t="str">
        <f t="shared" si="3"/>
        <v/>
      </c>
    </row>
    <row r="96">
      <c r="A96" s="83" t="s">
        <v>275</v>
      </c>
      <c r="C96" s="55" t="s">
        <v>479</v>
      </c>
      <c r="E96" s="84" t="s">
        <v>57</v>
      </c>
      <c r="F96" s="37">
        <v>150.0</v>
      </c>
      <c r="G96" s="86">
        <v>84.0</v>
      </c>
      <c r="H96" s="87">
        <v>150.0</v>
      </c>
      <c r="I96" s="89">
        <f t="shared" si="2"/>
        <v>12600</v>
      </c>
      <c r="M96" s="90"/>
      <c r="O96" s="92" t="str">
        <f t="shared" si="3"/>
        <v/>
      </c>
    </row>
    <row r="97">
      <c r="A97" s="83" t="s">
        <v>275</v>
      </c>
      <c r="C97" s="55" t="s">
        <v>488</v>
      </c>
      <c r="E97" s="84" t="s">
        <v>57</v>
      </c>
      <c r="F97" s="37">
        <v>150.0</v>
      </c>
      <c r="G97" s="86">
        <v>84.0</v>
      </c>
      <c r="H97" s="87">
        <v>150.0</v>
      </c>
      <c r="I97" s="89">
        <f t="shared" si="2"/>
        <v>12600</v>
      </c>
      <c r="M97" s="90"/>
      <c r="O97" s="92" t="str">
        <f t="shared" si="3"/>
        <v/>
      </c>
    </row>
    <row r="98">
      <c r="A98" s="83" t="s">
        <v>275</v>
      </c>
      <c r="C98" s="55" t="s">
        <v>493</v>
      </c>
      <c r="E98" s="84" t="s">
        <v>57</v>
      </c>
      <c r="F98" s="37">
        <v>150.0</v>
      </c>
      <c r="G98" s="86">
        <v>84.0</v>
      </c>
      <c r="H98" s="87">
        <v>150.0</v>
      </c>
      <c r="I98" s="89">
        <f t="shared" si="2"/>
        <v>12600</v>
      </c>
      <c r="M98" s="90"/>
      <c r="O98" s="92" t="str">
        <f t="shared" si="3"/>
        <v/>
      </c>
    </row>
    <row r="99">
      <c r="A99" s="83" t="s">
        <v>275</v>
      </c>
      <c r="C99" s="55" t="s">
        <v>498</v>
      </c>
      <c r="E99" s="84" t="s">
        <v>57</v>
      </c>
      <c r="F99" s="37">
        <v>150.0</v>
      </c>
      <c r="G99" s="86">
        <v>84.0</v>
      </c>
      <c r="H99" s="87">
        <v>150.0</v>
      </c>
      <c r="I99" s="89">
        <f t="shared" si="2"/>
        <v>12600</v>
      </c>
      <c r="M99" s="90"/>
      <c r="O99" s="92" t="str">
        <f t="shared" si="3"/>
        <v/>
      </c>
    </row>
    <row r="100">
      <c r="A100" s="83" t="s">
        <v>275</v>
      </c>
      <c r="C100" s="55" t="s">
        <v>503</v>
      </c>
      <c r="E100" s="84" t="s">
        <v>57</v>
      </c>
      <c r="F100" s="37">
        <v>150.0</v>
      </c>
      <c r="G100" s="86">
        <v>84.0</v>
      </c>
      <c r="H100" s="87">
        <v>150.0</v>
      </c>
      <c r="I100" s="89">
        <f t="shared" si="2"/>
        <v>12600</v>
      </c>
      <c r="M100" s="90"/>
      <c r="O100" s="92" t="str">
        <f t="shared" si="3"/>
        <v/>
      </c>
    </row>
    <row r="101">
      <c r="A101" s="83" t="s">
        <v>275</v>
      </c>
      <c r="C101" s="55" t="s">
        <v>508</v>
      </c>
      <c r="E101" s="84" t="s">
        <v>57</v>
      </c>
      <c r="F101" s="37">
        <v>150.0</v>
      </c>
      <c r="G101" s="86">
        <v>84.0</v>
      </c>
      <c r="H101" s="87">
        <v>150.0</v>
      </c>
      <c r="I101" s="89">
        <f t="shared" si="2"/>
        <v>12600</v>
      </c>
      <c r="M101" s="90"/>
      <c r="O101" s="92" t="str">
        <f t="shared" si="3"/>
        <v/>
      </c>
    </row>
    <row r="102">
      <c r="A102" s="83" t="s">
        <v>275</v>
      </c>
      <c r="C102" s="55" t="s">
        <v>515</v>
      </c>
      <c r="E102" s="84" t="s">
        <v>57</v>
      </c>
      <c r="F102" s="37">
        <v>150.0</v>
      </c>
      <c r="G102" s="86">
        <v>84.0</v>
      </c>
      <c r="H102" s="87">
        <v>150.0</v>
      </c>
      <c r="I102" s="89">
        <f t="shared" si="2"/>
        <v>12600</v>
      </c>
      <c r="M102" s="90"/>
      <c r="O102" s="92" t="str">
        <f t="shared" si="3"/>
        <v/>
      </c>
    </row>
    <row r="103">
      <c r="A103" s="83" t="s">
        <v>275</v>
      </c>
      <c r="C103" s="55" t="s">
        <v>522</v>
      </c>
      <c r="E103" s="84" t="s">
        <v>57</v>
      </c>
      <c r="F103" s="37">
        <v>150.0</v>
      </c>
      <c r="G103" s="86">
        <v>84.0</v>
      </c>
      <c r="H103" s="87">
        <v>150.0</v>
      </c>
      <c r="I103" s="89">
        <f t="shared" si="2"/>
        <v>12600</v>
      </c>
      <c r="M103" s="90"/>
      <c r="O103" s="92" t="str">
        <f t="shared" si="3"/>
        <v/>
      </c>
    </row>
    <row r="104">
      <c r="A104" s="83" t="s">
        <v>275</v>
      </c>
      <c r="C104" s="55" t="s">
        <v>525</v>
      </c>
      <c r="E104" s="84" t="s">
        <v>57</v>
      </c>
      <c r="F104" s="37">
        <v>150.0</v>
      </c>
      <c r="G104" s="86">
        <v>84.0</v>
      </c>
      <c r="H104" s="87">
        <v>150.0</v>
      </c>
      <c r="I104" s="89">
        <f t="shared" si="2"/>
        <v>12600</v>
      </c>
      <c r="M104" s="90"/>
      <c r="O104" s="92" t="str">
        <f t="shared" si="3"/>
        <v/>
      </c>
    </row>
    <row r="105">
      <c r="A105" s="83" t="s">
        <v>275</v>
      </c>
      <c r="C105" s="55" t="s">
        <v>529</v>
      </c>
      <c r="E105" s="84" t="s">
        <v>57</v>
      </c>
      <c r="F105" s="37">
        <v>150.0</v>
      </c>
      <c r="G105" s="86">
        <v>84.0</v>
      </c>
      <c r="H105" s="87">
        <v>150.0</v>
      </c>
      <c r="I105" s="89">
        <f t="shared" si="2"/>
        <v>12600</v>
      </c>
      <c r="M105" s="90"/>
      <c r="O105" s="92" t="str">
        <f t="shared" si="3"/>
        <v/>
      </c>
    </row>
    <row r="106">
      <c r="A106" s="83" t="s">
        <v>275</v>
      </c>
      <c r="C106" s="55" t="s">
        <v>533</v>
      </c>
      <c r="E106" s="84" t="s">
        <v>57</v>
      </c>
      <c r="F106" s="37">
        <v>150.0</v>
      </c>
      <c r="G106" s="86">
        <v>84.0</v>
      </c>
      <c r="H106" s="87">
        <v>150.0</v>
      </c>
      <c r="I106" s="89">
        <f t="shared" si="2"/>
        <v>12600</v>
      </c>
      <c r="M106" s="90"/>
      <c r="O106" s="92" t="str">
        <f t="shared" si="3"/>
        <v/>
      </c>
    </row>
    <row r="107">
      <c r="A107" s="83" t="s">
        <v>275</v>
      </c>
      <c r="C107" s="55" t="s">
        <v>542</v>
      </c>
      <c r="E107" s="84" t="s">
        <v>57</v>
      </c>
      <c r="F107" s="37">
        <v>150.0</v>
      </c>
      <c r="G107" s="86">
        <v>84.0</v>
      </c>
      <c r="H107" s="87">
        <v>150.0</v>
      </c>
      <c r="I107" s="89">
        <f t="shared" si="2"/>
        <v>12600</v>
      </c>
      <c r="M107" s="90"/>
      <c r="O107" s="92" t="str">
        <f t="shared" si="3"/>
        <v/>
      </c>
    </row>
    <row r="108">
      <c r="A108" s="83" t="s">
        <v>275</v>
      </c>
      <c r="C108" s="55" t="s">
        <v>545</v>
      </c>
      <c r="E108" s="84" t="s">
        <v>57</v>
      </c>
      <c r="F108" s="37">
        <v>150.0</v>
      </c>
      <c r="G108" s="86">
        <v>84.0</v>
      </c>
      <c r="H108" s="87">
        <v>150.0</v>
      </c>
      <c r="I108" s="89">
        <f t="shared" si="2"/>
        <v>12600</v>
      </c>
      <c r="M108" s="90"/>
      <c r="O108" s="92" t="str">
        <f t="shared" si="3"/>
        <v/>
      </c>
    </row>
    <row r="109">
      <c r="A109" s="83" t="s">
        <v>275</v>
      </c>
      <c r="C109" s="55" t="s">
        <v>549</v>
      </c>
      <c r="E109" s="84" t="s">
        <v>57</v>
      </c>
      <c r="F109" s="37">
        <v>150.0</v>
      </c>
      <c r="G109" s="86">
        <v>84.0</v>
      </c>
      <c r="H109" s="87">
        <v>150.0</v>
      </c>
      <c r="I109" s="89">
        <f t="shared" si="2"/>
        <v>12600</v>
      </c>
      <c r="M109" s="90"/>
      <c r="O109" s="92" t="str">
        <f t="shared" si="3"/>
        <v/>
      </c>
    </row>
    <row r="110">
      <c r="A110" s="83" t="s">
        <v>275</v>
      </c>
      <c r="C110" s="55" t="s">
        <v>554</v>
      </c>
      <c r="D110" s="100"/>
      <c r="E110" s="84" t="s">
        <v>57</v>
      </c>
      <c r="F110" s="37">
        <v>150.0</v>
      </c>
      <c r="G110" s="86">
        <v>84.0</v>
      </c>
      <c r="H110" s="87">
        <v>150.0</v>
      </c>
      <c r="I110" s="89">
        <f t="shared" si="2"/>
        <v>12600</v>
      </c>
      <c r="M110" s="90"/>
      <c r="O110" s="92" t="str">
        <f t="shared" si="3"/>
        <v/>
      </c>
    </row>
    <row r="111">
      <c r="A111" s="83" t="s">
        <v>275</v>
      </c>
      <c r="C111" s="55" t="s">
        <v>559</v>
      </c>
      <c r="D111" s="100"/>
      <c r="E111" s="84" t="s">
        <v>57</v>
      </c>
      <c r="F111" s="37">
        <v>150.0</v>
      </c>
      <c r="G111" s="86">
        <v>84.0</v>
      </c>
      <c r="H111" s="87">
        <v>150.0</v>
      </c>
      <c r="I111" s="89">
        <f t="shared" si="2"/>
        <v>12600</v>
      </c>
      <c r="M111" s="90"/>
      <c r="O111" s="92" t="str">
        <f t="shared" si="3"/>
        <v/>
      </c>
    </row>
    <row r="112">
      <c r="A112" s="83" t="s">
        <v>275</v>
      </c>
      <c r="C112" s="55" t="s">
        <v>564</v>
      </c>
      <c r="D112" s="100"/>
      <c r="E112" s="84" t="s">
        <v>57</v>
      </c>
      <c r="F112" s="37">
        <v>150.0</v>
      </c>
      <c r="G112" s="86">
        <v>84.0</v>
      </c>
      <c r="H112" s="87">
        <v>150.0</v>
      </c>
      <c r="I112" s="89">
        <f t="shared" si="2"/>
        <v>12600</v>
      </c>
      <c r="M112" s="90"/>
      <c r="O112" s="92" t="str">
        <f t="shared" si="3"/>
        <v/>
      </c>
    </row>
    <row r="113">
      <c r="A113" s="83" t="s">
        <v>275</v>
      </c>
      <c r="C113" s="55" t="s">
        <v>572</v>
      </c>
      <c r="D113" s="100"/>
      <c r="E113" s="84" t="s">
        <v>57</v>
      </c>
      <c r="F113" s="37">
        <v>150.0</v>
      </c>
      <c r="G113" s="86">
        <v>84.0</v>
      </c>
      <c r="H113" s="87">
        <v>150.0</v>
      </c>
      <c r="I113" s="89">
        <f t="shared" si="2"/>
        <v>12600</v>
      </c>
      <c r="M113" s="90"/>
      <c r="O113" s="92" t="str">
        <f t="shared" si="3"/>
        <v/>
      </c>
    </row>
    <row r="114">
      <c r="A114" s="83" t="s">
        <v>275</v>
      </c>
      <c r="C114" s="55" t="s">
        <v>577</v>
      </c>
      <c r="D114" s="100"/>
      <c r="E114" s="84" t="s">
        <v>57</v>
      </c>
      <c r="F114" s="37">
        <v>150.0</v>
      </c>
      <c r="G114" s="86">
        <v>84.0</v>
      </c>
      <c r="H114" s="87">
        <v>150.0</v>
      </c>
      <c r="I114" s="89">
        <f t="shared" si="2"/>
        <v>12600</v>
      </c>
      <c r="M114" s="90"/>
      <c r="O114" s="92" t="str">
        <f t="shared" si="3"/>
        <v/>
      </c>
    </row>
    <row r="115">
      <c r="A115" s="83" t="s">
        <v>275</v>
      </c>
      <c r="C115" s="55" t="s">
        <v>582</v>
      </c>
      <c r="D115" s="100"/>
      <c r="E115" s="84" t="s">
        <v>57</v>
      </c>
      <c r="F115" s="37">
        <v>150.0</v>
      </c>
      <c r="G115" s="86">
        <v>84.0</v>
      </c>
      <c r="H115" s="87">
        <v>150.0</v>
      </c>
      <c r="I115" s="89">
        <f t="shared" si="2"/>
        <v>12600</v>
      </c>
      <c r="M115" s="90"/>
      <c r="O115" s="92" t="str">
        <f t="shared" si="3"/>
        <v/>
      </c>
    </row>
    <row r="116">
      <c r="A116" s="30"/>
      <c r="M116" s="90"/>
      <c r="O116" s="92" t="str">
        <f t="shared" si="3"/>
        <v/>
      </c>
    </row>
    <row r="117">
      <c r="M117" s="90"/>
      <c r="O117" s="92" t="str">
        <f t="shared" si="3"/>
        <v/>
      </c>
    </row>
    <row r="118">
      <c r="M118" s="90"/>
      <c r="O118" s="92" t="str">
        <f t="shared" si="3"/>
        <v/>
      </c>
    </row>
    <row r="119">
      <c r="M119" s="90"/>
      <c r="O119" s="92" t="str">
        <f t="shared" si="3"/>
        <v/>
      </c>
    </row>
    <row r="120">
      <c r="M120" s="90"/>
      <c r="O120" s="92" t="str">
        <f t="shared" si="3"/>
        <v/>
      </c>
    </row>
    <row r="121">
      <c r="M121" s="90"/>
      <c r="O121" s="92" t="str">
        <f t="shared" si="3"/>
        <v/>
      </c>
    </row>
    <row r="122">
      <c r="M122" s="90"/>
      <c r="O122" s="92" t="str">
        <f t="shared" si="3"/>
        <v/>
      </c>
    </row>
  </sheetData>
  <mergeCells count="284">
    <mergeCell ref="A59:B59"/>
    <mergeCell ref="C59:D59"/>
    <mergeCell ref="A60:B60"/>
    <mergeCell ref="C60:D60"/>
    <mergeCell ref="A61:B61"/>
    <mergeCell ref="C61:D61"/>
    <mergeCell ref="C63:D63"/>
    <mergeCell ref="A63:B63"/>
    <mergeCell ref="A64:B64"/>
    <mergeCell ref="A65:B65"/>
    <mergeCell ref="A66:B66"/>
    <mergeCell ref="A67:B67"/>
    <mergeCell ref="A68:B68"/>
    <mergeCell ref="A69:B69"/>
    <mergeCell ref="C64:D64"/>
    <mergeCell ref="C65:D65"/>
    <mergeCell ref="C66:D66"/>
    <mergeCell ref="C67:D67"/>
    <mergeCell ref="C68:D68"/>
    <mergeCell ref="C69:D69"/>
    <mergeCell ref="C70:D70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C102:D102"/>
    <mergeCell ref="C103:D103"/>
    <mergeCell ref="M101:N101"/>
    <mergeCell ref="M102:N102"/>
    <mergeCell ref="M103:N103"/>
    <mergeCell ref="M104:N104"/>
    <mergeCell ref="M105:N105"/>
    <mergeCell ref="M106:N106"/>
    <mergeCell ref="M107:N107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08:N108"/>
    <mergeCell ref="M109:N109"/>
    <mergeCell ref="M110:N110"/>
    <mergeCell ref="M111:N111"/>
    <mergeCell ref="M112:N112"/>
    <mergeCell ref="M113:N113"/>
    <mergeCell ref="M114:N114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A62:J62"/>
    <mergeCell ref="M63:N63"/>
    <mergeCell ref="O63:P63"/>
    <mergeCell ref="M64:N64"/>
    <mergeCell ref="M65:N65"/>
    <mergeCell ref="M66:N66"/>
    <mergeCell ref="M67:N67"/>
    <mergeCell ref="M68:N68"/>
    <mergeCell ref="M69:N69"/>
    <mergeCell ref="M70:N70"/>
    <mergeCell ref="M71:N71"/>
    <mergeCell ref="M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99:N99"/>
    <mergeCell ref="M100:N100"/>
    <mergeCell ref="C26:D26"/>
    <mergeCell ref="C27:D27"/>
    <mergeCell ref="C19:D19"/>
    <mergeCell ref="C20:D20"/>
    <mergeCell ref="C21:D21"/>
    <mergeCell ref="C22:D22"/>
    <mergeCell ref="C23:D23"/>
    <mergeCell ref="C24:D24"/>
    <mergeCell ref="C25:D25"/>
    <mergeCell ref="C1:D1"/>
    <mergeCell ref="A2:B2"/>
    <mergeCell ref="C2:D2"/>
    <mergeCell ref="J2:J4"/>
    <mergeCell ref="A3:B3"/>
    <mergeCell ref="C3:D3"/>
    <mergeCell ref="C4:D4"/>
    <mergeCell ref="A4:B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C11:D11"/>
    <mergeCell ref="A11:B11"/>
    <mergeCell ref="A12:B12"/>
    <mergeCell ref="A13:B13"/>
    <mergeCell ref="A14:B14"/>
    <mergeCell ref="A15:B15"/>
    <mergeCell ref="A16:B16"/>
    <mergeCell ref="A17:B17"/>
    <mergeCell ref="C12:D12"/>
    <mergeCell ref="C13:D13"/>
    <mergeCell ref="C14:D14"/>
    <mergeCell ref="C15:D15"/>
    <mergeCell ref="C16:D16"/>
    <mergeCell ref="C17:D17"/>
    <mergeCell ref="C18:D18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C33:D33"/>
    <mergeCell ref="A33:B33"/>
    <mergeCell ref="A34:B34"/>
    <mergeCell ref="A35:B35"/>
    <mergeCell ref="A36:B36"/>
    <mergeCell ref="A37:B37"/>
    <mergeCell ref="A38:B38"/>
    <mergeCell ref="A39:B39"/>
    <mergeCell ref="C34:D34"/>
    <mergeCell ref="C35:D35"/>
    <mergeCell ref="C36:D36"/>
    <mergeCell ref="C37:D37"/>
    <mergeCell ref="C38:D38"/>
    <mergeCell ref="C39:D39"/>
    <mergeCell ref="C40:D40"/>
    <mergeCell ref="A40:B40"/>
    <mergeCell ref="A41:B41"/>
    <mergeCell ref="A42:B42"/>
    <mergeCell ref="A43:B43"/>
    <mergeCell ref="A44:B44"/>
    <mergeCell ref="A45:B45"/>
    <mergeCell ref="A46:B46"/>
    <mergeCell ref="C41:D41"/>
    <mergeCell ref="C42:D42"/>
    <mergeCell ref="C43:D43"/>
    <mergeCell ref="C44:D44"/>
    <mergeCell ref="C45:D45"/>
    <mergeCell ref="C46:D46"/>
    <mergeCell ref="C47:D47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C57:D57"/>
    <mergeCell ref="A58:B58"/>
    <mergeCell ref="C58:D58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93:D93"/>
    <mergeCell ref="C94:D94"/>
    <mergeCell ref="C86:D86"/>
    <mergeCell ref="C87:D87"/>
    <mergeCell ref="C88:D88"/>
    <mergeCell ref="C89:D89"/>
    <mergeCell ref="C90:D90"/>
    <mergeCell ref="C91:D91"/>
    <mergeCell ref="C92:D92"/>
    <mergeCell ref="A96:B96"/>
    <mergeCell ref="A97:B97"/>
    <mergeCell ref="A98:B98"/>
    <mergeCell ref="A91:B91"/>
    <mergeCell ref="A92:B92"/>
    <mergeCell ref="A93:B93"/>
    <mergeCell ref="A94:B94"/>
    <mergeCell ref="A95:B95"/>
    <mergeCell ref="C95:D95"/>
    <mergeCell ref="C96:D96"/>
    <mergeCell ref="C97:D97"/>
    <mergeCell ref="C98:D98"/>
    <mergeCell ref="A99:B99"/>
    <mergeCell ref="C99:D99"/>
    <mergeCell ref="A100:B100"/>
    <mergeCell ref="C100:D100"/>
    <mergeCell ref="C101:D101"/>
    <mergeCell ref="A101:B101"/>
    <mergeCell ref="A102:B102"/>
    <mergeCell ref="A103:B103"/>
    <mergeCell ref="A104:B104"/>
    <mergeCell ref="C104:D104"/>
    <mergeCell ref="A105:B105"/>
    <mergeCell ref="C105:D105"/>
    <mergeCell ref="A109:B109"/>
    <mergeCell ref="A110:B110"/>
    <mergeCell ref="A111:B111"/>
    <mergeCell ref="A112:B112"/>
    <mergeCell ref="A113:B113"/>
    <mergeCell ref="A114:B114"/>
    <mergeCell ref="A115:B115"/>
    <mergeCell ref="A116:J116"/>
    <mergeCell ref="A106:B106"/>
    <mergeCell ref="C106:D106"/>
    <mergeCell ref="A107:B107"/>
    <mergeCell ref="C107:D107"/>
    <mergeCell ref="A108:B108"/>
    <mergeCell ref="C108:D108"/>
    <mergeCell ref="C109:D10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9" t="s">
        <v>222</v>
      </c>
    </row>
    <row r="2">
      <c r="A2" s="70" t="s">
        <v>224</v>
      </c>
      <c r="B2" s="70" t="s">
        <v>225</v>
      </c>
      <c r="C2" s="70" t="s">
        <v>227</v>
      </c>
      <c r="D2" s="70" t="s">
        <v>228</v>
      </c>
      <c r="E2" s="70" t="s">
        <v>229</v>
      </c>
      <c r="F2" s="70" t="s">
        <v>230</v>
      </c>
      <c r="G2" s="70" t="s">
        <v>231</v>
      </c>
      <c r="H2" s="70" t="s">
        <v>232</v>
      </c>
      <c r="I2" s="70" t="s">
        <v>233</v>
      </c>
      <c r="J2" s="71" t="s">
        <v>235</v>
      </c>
      <c r="K2" s="71" t="s">
        <v>236</v>
      </c>
      <c r="L2" s="71" t="s">
        <v>237</v>
      </c>
      <c r="N2" s="72"/>
    </row>
    <row r="3">
      <c r="A3" s="73" t="s">
        <v>239</v>
      </c>
      <c r="B3" s="74" t="s">
        <v>240</v>
      </c>
      <c r="C3" s="73" t="s">
        <v>241</v>
      </c>
      <c r="D3" s="73" t="s">
        <v>243</v>
      </c>
      <c r="E3" s="75" t="s">
        <v>244</v>
      </c>
      <c r="F3" s="76">
        <v>1.0</v>
      </c>
      <c r="G3" s="77">
        <v>0.0</v>
      </c>
      <c r="H3" s="77">
        <v>100.0</v>
      </c>
      <c r="I3" s="78" t="s">
        <v>246</v>
      </c>
      <c r="J3" s="77">
        <v>0.0</v>
      </c>
      <c r="K3" s="77" t="s">
        <v>247</v>
      </c>
      <c r="L3" s="78" t="s">
        <v>248</v>
      </c>
    </row>
    <row r="4">
      <c r="A4" s="79" t="s">
        <v>249</v>
      </c>
      <c r="B4" s="79" t="s">
        <v>251</v>
      </c>
      <c r="C4" s="79" t="s">
        <v>252</v>
      </c>
      <c r="D4" s="79" t="s">
        <v>253</v>
      </c>
      <c r="E4" s="80" t="s">
        <v>254</v>
      </c>
      <c r="F4" s="80" t="s">
        <v>256</v>
      </c>
      <c r="G4" s="80" t="s">
        <v>257</v>
      </c>
      <c r="H4" s="80" t="s">
        <v>258</v>
      </c>
      <c r="I4" s="80" t="s">
        <v>259</v>
      </c>
      <c r="J4" s="80" t="s">
        <v>260</v>
      </c>
      <c r="K4" s="80" t="s">
        <v>261</v>
      </c>
      <c r="L4" s="80" t="s">
        <v>262</v>
      </c>
    </row>
    <row r="5">
      <c r="A5" s="81" t="s">
        <v>264</v>
      </c>
      <c r="B5" s="81" t="s">
        <v>265</v>
      </c>
      <c r="C5" s="81" t="s">
        <v>252</v>
      </c>
      <c r="D5" s="81" t="s">
        <v>253</v>
      </c>
      <c r="E5" s="82" t="s">
        <v>266</v>
      </c>
      <c r="F5" s="82" t="s">
        <v>268</v>
      </c>
      <c r="G5" s="82" t="s">
        <v>257</v>
      </c>
      <c r="H5" s="82" t="s">
        <v>258</v>
      </c>
      <c r="I5" s="82" t="s">
        <v>259</v>
      </c>
      <c r="J5" s="82" t="s">
        <v>260</v>
      </c>
      <c r="K5" s="82" t="s">
        <v>269</v>
      </c>
      <c r="L5" s="82" t="s">
        <v>262</v>
      </c>
    </row>
    <row r="6">
      <c r="A6" s="81" t="s">
        <v>271</v>
      </c>
      <c r="B6" s="81" t="s">
        <v>265</v>
      </c>
      <c r="C6" s="81" t="s">
        <v>272</v>
      </c>
      <c r="D6" s="81" t="s">
        <v>253</v>
      </c>
      <c r="E6" s="82" t="s">
        <v>273</v>
      </c>
      <c r="F6" s="82" t="s">
        <v>274</v>
      </c>
      <c r="G6" s="82" t="s">
        <v>257</v>
      </c>
      <c r="H6" s="82" t="s">
        <v>258</v>
      </c>
      <c r="I6" s="82" t="s">
        <v>259</v>
      </c>
      <c r="J6" s="82" t="s">
        <v>260</v>
      </c>
      <c r="K6" s="82" t="s">
        <v>276</v>
      </c>
      <c r="L6" s="82" t="s">
        <v>262</v>
      </c>
    </row>
    <row r="7">
      <c r="A7" s="81" t="s">
        <v>277</v>
      </c>
      <c r="B7" s="81" t="s">
        <v>265</v>
      </c>
      <c r="C7" s="81" t="s">
        <v>279</v>
      </c>
      <c r="D7" s="81" t="s">
        <v>253</v>
      </c>
      <c r="E7" s="82" t="s">
        <v>280</v>
      </c>
      <c r="F7" s="82">
        <v>0.0</v>
      </c>
      <c r="G7" s="82" t="s">
        <v>281</v>
      </c>
      <c r="H7" s="85" t="s">
        <v>282</v>
      </c>
      <c r="I7" s="82" t="s">
        <v>259</v>
      </c>
      <c r="J7" s="82" t="s">
        <v>260</v>
      </c>
      <c r="K7" s="82" t="s">
        <v>283</v>
      </c>
      <c r="L7" s="82" t="s">
        <v>284</v>
      </c>
    </row>
    <row r="8">
      <c r="A8" s="55" t="s">
        <v>285</v>
      </c>
      <c r="B8" s="55" t="s">
        <v>286</v>
      </c>
      <c r="C8" s="55" t="s">
        <v>241</v>
      </c>
      <c r="D8" s="55" t="s">
        <v>253</v>
      </c>
      <c r="E8" s="88" t="s">
        <v>287</v>
      </c>
      <c r="F8" s="88" t="s">
        <v>288</v>
      </c>
      <c r="G8" s="88" t="s">
        <v>289</v>
      </c>
      <c r="H8" s="88" t="s">
        <v>258</v>
      </c>
      <c r="I8" s="88" t="s">
        <v>259</v>
      </c>
      <c r="J8" s="88" t="s">
        <v>260</v>
      </c>
      <c r="K8" s="88" t="s">
        <v>290</v>
      </c>
      <c r="L8" s="88" t="s">
        <v>291</v>
      </c>
    </row>
    <row r="9">
      <c r="A9" s="43" t="s">
        <v>292</v>
      </c>
      <c r="B9" s="43" t="s">
        <v>293</v>
      </c>
      <c r="C9" s="43" t="s">
        <v>294</v>
      </c>
      <c r="D9" s="43" t="s">
        <v>295</v>
      </c>
      <c r="E9" s="91" t="s">
        <v>296</v>
      </c>
      <c r="F9" s="91" t="s">
        <v>297</v>
      </c>
      <c r="G9" s="91" t="s">
        <v>298</v>
      </c>
      <c r="H9" s="91" t="s">
        <v>299</v>
      </c>
      <c r="I9" s="91" t="s">
        <v>259</v>
      </c>
      <c r="J9" s="91" t="s">
        <v>258</v>
      </c>
      <c r="K9" s="91" t="s">
        <v>290</v>
      </c>
      <c r="L9" s="91" t="s">
        <v>300</v>
      </c>
    </row>
    <row r="10">
      <c r="A10" s="79" t="s">
        <v>301</v>
      </c>
      <c r="B10" s="79" t="s">
        <v>251</v>
      </c>
      <c r="C10" s="79" t="s">
        <v>302</v>
      </c>
      <c r="D10" s="79" t="s">
        <v>253</v>
      </c>
      <c r="E10" s="80" t="s">
        <v>303</v>
      </c>
      <c r="F10" s="80" t="s">
        <v>304</v>
      </c>
      <c r="G10" s="80" t="s">
        <v>305</v>
      </c>
      <c r="H10" s="80" t="s">
        <v>306</v>
      </c>
      <c r="I10" s="80" t="s">
        <v>259</v>
      </c>
      <c r="J10" s="80" t="s">
        <v>260</v>
      </c>
      <c r="K10" s="80" t="s">
        <v>307</v>
      </c>
      <c r="L10" s="80" t="s">
        <v>308</v>
      </c>
    </row>
    <row r="11">
      <c r="A11" s="43" t="s">
        <v>309</v>
      </c>
      <c r="B11" s="43" t="s">
        <v>293</v>
      </c>
      <c r="C11" s="43" t="s">
        <v>252</v>
      </c>
      <c r="D11" s="43" t="s">
        <v>295</v>
      </c>
      <c r="E11" s="91" t="s">
        <v>310</v>
      </c>
      <c r="F11" s="93">
        <v>1.0</v>
      </c>
      <c r="G11" s="91" t="s">
        <v>312</v>
      </c>
      <c r="H11" s="91" t="s">
        <v>299</v>
      </c>
      <c r="I11" s="91" t="s">
        <v>259</v>
      </c>
      <c r="J11" s="91" t="s">
        <v>313</v>
      </c>
      <c r="K11" s="91" t="s">
        <v>290</v>
      </c>
      <c r="L11" s="91" t="s">
        <v>300</v>
      </c>
    </row>
    <row r="12">
      <c r="A12" s="73" t="s">
        <v>314</v>
      </c>
      <c r="B12" s="73" t="s">
        <v>240</v>
      </c>
      <c r="C12" s="73" t="s">
        <v>241</v>
      </c>
      <c r="D12" s="73" t="s">
        <v>243</v>
      </c>
      <c r="E12" s="77" t="s">
        <v>316</v>
      </c>
      <c r="F12" s="77" t="s">
        <v>317</v>
      </c>
      <c r="G12" s="77" t="s">
        <v>318</v>
      </c>
      <c r="H12" s="77" t="s">
        <v>299</v>
      </c>
      <c r="I12" s="77" t="s">
        <v>319</v>
      </c>
      <c r="J12" s="77" t="s">
        <v>260</v>
      </c>
      <c r="K12" s="77" t="s">
        <v>320</v>
      </c>
      <c r="L12" s="77" t="s">
        <v>321</v>
      </c>
      <c r="M12" s="77"/>
    </row>
    <row r="13">
      <c r="A13" s="55" t="s">
        <v>322</v>
      </c>
      <c r="B13" s="55" t="s">
        <v>286</v>
      </c>
      <c r="C13" s="55" t="s">
        <v>252</v>
      </c>
      <c r="D13" s="55" t="s">
        <v>253</v>
      </c>
      <c r="E13" s="88" t="s">
        <v>324</v>
      </c>
      <c r="F13" s="88" t="s">
        <v>325</v>
      </c>
      <c r="G13" s="88" t="s">
        <v>298</v>
      </c>
      <c r="H13" s="88" t="s">
        <v>326</v>
      </c>
      <c r="I13" s="88" t="s">
        <v>259</v>
      </c>
      <c r="J13" s="88" t="s">
        <v>260</v>
      </c>
      <c r="K13" s="88" t="s">
        <v>327</v>
      </c>
      <c r="L13" s="88" t="s">
        <v>328</v>
      </c>
    </row>
    <row r="14">
      <c r="A14" s="35" t="s">
        <v>330</v>
      </c>
      <c r="B14" s="35" t="s">
        <v>331</v>
      </c>
      <c r="C14" s="35" t="s">
        <v>241</v>
      </c>
      <c r="D14" s="35" t="s">
        <v>332</v>
      </c>
      <c r="E14" s="94" t="s">
        <v>333</v>
      </c>
      <c r="F14" s="94" t="s">
        <v>334</v>
      </c>
      <c r="G14" s="94" t="s">
        <v>335</v>
      </c>
      <c r="H14" s="94" t="s">
        <v>336</v>
      </c>
      <c r="I14" s="94" t="s">
        <v>338</v>
      </c>
      <c r="J14" s="94" t="s">
        <v>260</v>
      </c>
      <c r="K14" s="94" t="s">
        <v>307</v>
      </c>
      <c r="L14" s="94" t="s">
        <v>339</v>
      </c>
    </row>
    <row r="15">
      <c r="A15" s="95" t="s">
        <v>340</v>
      </c>
      <c r="B15" s="95" t="s">
        <v>342</v>
      </c>
      <c r="C15" s="95" t="s">
        <v>279</v>
      </c>
      <c r="D15" s="95" t="s">
        <v>253</v>
      </c>
      <c r="E15" s="96" t="s">
        <v>343</v>
      </c>
      <c r="F15" s="96" t="s">
        <v>344</v>
      </c>
      <c r="G15" s="96" t="s">
        <v>345</v>
      </c>
      <c r="H15" s="96" t="s">
        <v>258</v>
      </c>
      <c r="I15" s="96" t="s">
        <v>338</v>
      </c>
      <c r="J15" s="96" t="s">
        <v>260</v>
      </c>
      <c r="K15" s="96" t="s">
        <v>347</v>
      </c>
      <c r="L15" s="96" t="s">
        <v>262</v>
      </c>
    </row>
    <row r="16">
      <c r="A16" s="35" t="s">
        <v>348</v>
      </c>
      <c r="B16" s="35" t="s">
        <v>331</v>
      </c>
      <c r="C16" s="35" t="s">
        <v>241</v>
      </c>
      <c r="D16" s="35" t="s">
        <v>332</v>
      </c>
      <c r="E16" s="94" t="s">
        <v>349</v>
      </c>
      <c r="F16" s="94" t="s">
        <v>350</v>
      </c>
      <c r="G16" s="94" t="s">
        <v>299</v>
      </c>
      <c r="H16" s="94">
        <v>0.0</v>
      </c>
      <c r="I16" s="94">
        <v>10000.0</v>
      </c>
      <c r="J16" s="94" t="s">
        <v>260</v>
      </c>
      <c r="K16" s="94" t="s">
        <v>352</v>
      </c>
      <c r="L16" s="94" t="s">
        <v>353</v>
      </c>
    </row>
    <row r="17">
      <c r="A17" s="95" t="s">
        <v>354</v>
      </c>
      <c r="B17" s="95" t="s">
        <v>342</v>
      </c>
      <c r="C17" s="95" t="s">
        <v>279</v>
      </c>
      <c r="D17" s="95" t="s">
        <v>253</v>
      </c>
      <c r="E17" s="96" t="s">
        <v>356</v>
      </c>
      <c r="F17" s="97">
        <v>1.3</v>
      </c>
      <c r="G17" s="96" t="s">
        <v>257</v>
      </c>
      <c r="H17" s="96" t="s">
        <v>258</v>
      </c>
      <c r="I17" s="96" t="s">
        <v>338</v>
      </c>
      <c r="J17" s="96" t="s">
        <v>260</v>
      </c>
      <c r="K17" s="96" t="s">
        <v>290</v>
      </c>
      <c r="L17" s="96" t="s">
        <v>262</v>
      </c>
    </row>
    <row r="18">
      <c r="A18" s="81" t="s">
        <v>358</v>
      </c>
      <c r="B18" s="81" t="s">
        <v>265</v>
      </c>
      <c r="C18" s="81" t="s">
        <v>252</v>
      </c>
      <c r="D18" s="81" t="s">
        <v>253</v>
      </c>
      <c r="E18" s="82" t="s">
        <v>359</v>
      </c>
      <c r="F18" s="98">
        <v>0.0</v>
      </c>
      <c r="G18" s="82">
        <v>0.0</v>
      </c>
      <c r="H18" s="82" t="s">
        <v>360</v>
      </c>
      <c r="I18" s="82" t="s">
        <v>259</v>
      </c>
      <c r="J18" s="82" t="s">
        <v>260</v>
      </c>
      <c r="K18" s="82" t="s">
        <v>307</v>
      </c>
      <c r="L18" s="82" t="s">
        <v>284</v>
      </c>
    </row>
    <row r="19">
      <c r="A19" s="81" t="s">
        <v>362</v>
      </c>
      <c r="B19" s="81" t="s">
        <v>265</v>
      </c>
      <c r="C19" s="81" t="s">
        <v>279</v>
      </c>
      <c r="D19" s="81" t="s">
        <v>253</v>
      </c>
      <c r="E19" s="82" t="s">
        <v>364</v>
      </c>
      <c r="F19" s="82" t="s">
        <v>365</v>
      </c>
      <c r="G19" s="82">
        <v>0.0</v>
      </c>
      <c r="H19" s="82" t="s">
        <v>366</v>
      </c>
      <c r="I19" s="82" t="s">
        <v>367</v>
      </c>
      <c r="J19" s="82" t="s">
        <v>260</v>
      </c>
      <c r="K19" s="82" t="s">
        <v>290</v>
      </c>
      <c r="L19" s="82" t="s">
        <v>368</v>
      </c>
    </row>
    <row r="20">
      <c r="A20" s="95" t="s">
        <v>369</v>
      </c>
      <c r="B20" s="95" t="s">
        <v>342</v>
      </c>
      <c r="C20" s="95" t="s">
        <v>241</v>
      </c>
      <c r="D20" s="95" t="s">
        <v>253</v>
      </c>
      <c r="E20" s="96" t="s">
        <v>371</v>
      </c>
      <c r="F20" s="96" t="s">
        <v>372</v>
      </c>
      <c r="G20" s="96" t="s">
        <v>373</v>
      </c>
      <c r="H20" s="96" t="s">
        <v>258</v>
      </c>
      <c r="I20" s="96" t="s">
        <v>259</v>
      </c>
      <c r="J20" s="96" t="s">
        <v>260</v>
      </c>
      <c r="K20" s="96" t="s">
        <v>374</v>
      </c>
      <c r="L20" s="96" t="s">
        <v>375</v>
      </c>
    </row>
    <row r="21">
      <c r="A21" s="79" t="s">
        <v>376</v>
      </c>
      <c r="B21" s="79" t="s">
        <v>251</v>
      </c>
      <c r="C21" s="79" t="s">
        <v>241</v>
      </c>
      <c r="D21" s="79" t="s">
        <v>332</v>
      </c>
      <c r="E21" s="80" t="s">
        <v>378</v>
      </c>
      <c r="F21" s="80" t="s">
        <v>379</v>
      </c>
      <c r="G21" s="80" t="s">
        <v>380</v>
      </c>
      <c r="H21" s="80" t="s">
        <v>299</v>
      </c>
      <c r="I21" s="80" t="s">
        <v>381</v>
      </c>
      <c r="J21" s="80" t="s">
        <v>260</v>
      </c>
      <c r="K21" s="80" t="s">
        <v>290</v>
      </c>
      <c r="L21" s="80" t="s">
        <v>382</v>
      </c>
    </row>
    <row r="22">
      <c r="A22" s="55" t="s">
        <v>383</v>
      </c>
      <c r="B22" s="55" t="s">
        <v>286</v>
      </c>
      <c r="C22" s="55" t="s">
        <v>302</v>
      </c>
      <c r="D22" s="55" t="s">
        <v>253</v>
      </c>
      <c r="E22" s="88" t="s">
        <v>385</v>
      </c>
      <c r="F22" s="88">
        <v>0.0</v>
      </c>
      <c r="G22" s="88" t="s">
        <v>386</v>
      </c>
      <c r="H22" s="88" t="s">
        <v>258</v>
      </c>
      <c r="I22" s="88" t="s">
        <v>259</v>
      </c>
      <c r="J22" s="88" t="s">
        <v>260</v>
      </c>
      <c r="K22" s="88" t="s">
        <v>327</v>
      </c>
      <c r="L22" s="88" t="s">
        <v>387</v>
      </c>
    </row>
    <row r="23">
      <c r="A23" s="81" t="s">
        <v>388</v>
      </c>
      <c r="B23" s="81" t="s">
        <v>265</v>
      </c>
      <c r="C23" s="81" t="s">
        <v>241</v>
      </c>
      <c r="D23" s="81" t="s">
        <v>332</v>
      </c>
      <c r="E23" s="82" t="s">
        <v>390</v>
      </c>
      <c r="F23" s="82" t="s">
        <v>365</v>
      </c>
      <c r="G23" s="82" t="s">
        <v>391</v>
      </c>
      <c r="H23" s="82" t="s">
        <v>392</v>
      </c>
      <c r="I23" s="82" t="s">
        <v>393</v>
      </c>
      <c r="J23" s="82" t="s">
        <v>260</v>
      </c>
      <c r="K23" s="82" t="s">
        <v>394</v>
      </c>
      <c r="L23" s="82" t="s">
        <v>395</v>
      </c>
    </row>
    <row r="24">
      <c r="A24" s="79" t="s">
        <v>396</v>
      </c>
      <c r="B24" s="79" t="s">
        <v>251</v>
      </c>
      <c r="C24" s="79" t="s">
        <v>294</v>
      </c>
      <c r="D24" s="79" t="s">
        <v>253</v>
      </c>
      <c r="E24" s="80" t="s">
        <v>397</v>
      </c>
      <c r="F24" s="80" t="s">
        <v>304</v>
      </c>
      <c r="G24" s="80" t="s">
        <v>399</v>
      </c>
      <c r="H24" s="80" t="s">
        <v>400</v>
      </c>
      <c r="I24" s="80" t="s">
        <v>259</v>
      </c>
      <c r="J24" s="80" t="s">
        <v>260</v>
      </c>
      <c r="K24" s="80" t="s">
        <v>307</v>
      </c>
      <c r="L24" s="80" t="s">
        <v>262</v>
      </c>
    </row>
    <row r="25">
      <c r="A25" s="43" t="s">
        <v>401</v>
      </c>
      <c r="B25" s="43" t="s">
        <v>293</v>
      </c>
      <c r="C25" s="43" t="s">
        <v>252</v>
      </c>
      <c r="D25" s="43" t="s">
        <v>295</v>
      </c>
      <c r="E25" s="91" t="s">
        <v>402</v>
      </c>
      <c r="F25" s="91" t="s">
        <v>403</v>
      </c>
      <c r="G25" s="91">
        <v>0.0</v>
      </c>
      <c r="H25" s="91">
        <v>0.0</v>
      </c>
      <c r="I25" s="91" t="s">
        <v>338</v>
      </c>
      <c r="J25" s="91" t="s">
        <v>405</v>
      </c>
      <c r="K25" s="91" t="s">
        <v>406</v>
      </c>
      <c r="L25" s="91" t="s">
        <v>407</v>
      </c>
    </row>
    <row r="26">
      <c r="A26" s="35" t="s">
        <v>408</v>
      </c>
      <c r="B26" s="35" t="s">
        <v>331</v>
      </c>
      <c r="C26" s="35" t="s">
        <v>302</v>
      </c>
      <c r="D26" s="35" t="s">
        <v>253</v>
      </c>
      <c r="E26" s="94" t="s">
        <v>409</v>
      </c>
      <c r="F26" s="94" t="s">
        <v>304</v>
      </c>
      <c r="G26" s="94" t="s">
        <v>373</v>
      </c>
      <c r="H26" s="94" t="s">
        <v>258</v>
      </c>
      <c r="I26" s="94" t="s">
        <v>259</v>
      </c>
      <c r="J26" s="94" t="s">
        <v>260</v>
      </c>
      <c r="K26" s="94" t="s">
        <v>290</v>
      </c>
      <c r="L26" s="94" t="s">
        <v>411</v>
      </c>
    </row>
    <row r="27">
      <c r="A27" s="35" t="s">
        <v>412</v>
      </c>
      <c r="B27" s="35" t="s">
        <v>331</v>
      </c>
      <c r="C27" s="35" t="s">
        <v>279</v>
      </c>
      <c r="D27" s="35" t="s">
        <v>253</v>
      </c>
      <c r="E27" s="94" t="s">
        <v>413</v>
      </c>
      <c r="F27" s="94" t="s">
        <v>414</v>
      </c>
      <c r="G27" s="94">
        <v>0.0</v>
      </c>
      <c r="H27" s="94" t="s">
        <v>416</v>
      </c>
      <c r="I27" s="94" t="s">
        <v>259</v>
      </c>
      <c r="J27" s="94" t="s">
        <v>260</v>
      </c>
      <c r="K27" s="94" t="s">
        <v>290</v>
      </c>
      <c r="L27" s="94" t="s">
        <v>411</v>
      </c>
    </row>
    <row r="28">
      <c r="A28" s="73" t="s">
        <v>417</v>
      </c>
      <c r="B28" s="73" t="s">
        <v>240</v>
      </c>
      <c r="C28" s="99" t="s">
        <v>294</v>
      </c>
      <c r="D28" s="73" t="s">
        <v>243</v>
      </c>
      <c r="E28" s="77" t="s">
        <v>244</v>
      </c>
      <c r="F28" s="77" t="s">
        <v>419</v>
      </c>
      <c r="G28" s="77">
        <v>0.0</v>
      </c>
      <c r="H28" s="77">
        <v>600.0</v>
      </c>
      <c r="I28" s="77" t="s">
        <v>420</v>
      </c>
      <c r="J28" s="77" t="s">
        <v>260</v>
      </c>
      <c r="K28" s="77" t="s">
        <v>421</v>
      </c>
      <c r="L28" s="77" t="s">
        <v>248</v>
      </c>
    </row>
    <row r="29">
      <c r="A29" s="95" t="s">
        <v>422</v>
      </c>
      <c r="B29" s="95" t="s">
        <v>342</v>
      </c>
      <c r="C29" s="95" t="s">
        <v>252</v>
      </c>
      <c r="D29" s="95" t="s">
        <v>253</v>
      </c>
      <c r="E29" s="96" t="s">
        <v>424</v>
      </c>
      <c r="F29" s="96" t="s">
        <v>425</v>
      </c>
      <c r="G29" s="96" t="s">
        <v>426</v>
      </c>
      <c r="H29" s="96" t="s">
        <v>427</v>
      </c>
      <c r="I29" s="96" t="s">
        <v>259</v>
      </c>
      <c r="J29" s="96" t="s">
        <v>260</v>
      </c>
      <c r="K29" s="96" t="s">
        <v>283</v>
      </c>
      <c r="L29" s="96" t="s">
        <v>375</v>
      </c>
    </row>
    <row r="30">
      <c r="A30" s="55" t="s">
        <v>428</v>
      </c>
      <c r="B30" s="55" t="s">
        <v>286</v>
      </c>
      <c r="C30" s="55" t="s">
        <v>279</v>
      </c>
      <c r="D30" s="55" t="s">
        <v>253</v>
      </c>
      <c r="E30" s="88" t="s">
        <v>324</v>
      </c>
      <c r="F30" s="101">
        <v>1.0</v>
      </c>
      <c r="G30" s="88" t="s">
        <v>298</v>
      </c>
      <c r="H30" s="88" t="s">
        <v>430</v>
      </c>
      <c r="I30" s="88" t="s">
        <v>259</v>
      </c>
      <c r="J30" s="88" t="s">
        <v>260</v>
      </c>
      <c r="K30" s="88" t="s">
        <v>431</v>
      </c>
      <c r="L30" s="88" t="s">
        <v>387</v>
      </c>
    </row>
    <row r="31">
      <c r="A31" s="43" t="s">
        <v>432</v>
      </c>
      <c r="B31" s="43" t="s">
        <v>293</v>
      </c>
      <c r="C31" s="43" t="s">
        <v>252</v>
      </c>
      <c r="D31" s="43" t="s">
        <v>295</v>
      </c>
      <c r="E31" s="91" t="s">
        <v>433</v>
      </c>
      <c r="F31" s="93">
        <v>1.0</v>
      </c>
      <c r="G31" s="91">
        <v>0.0</v>
      </c>
      <c r="H31" s="91" t="s">
        <v>435</v>
      </c>
      <c r="I31" s="91" t="s">
        <v>259</v>
      </c>
      <c r="J31" s="91" t="s">
        <v>436</v>
      </c>
      <c r="K31" s="91" t="s">
        <v>290</v>
      </c>
      <c r="L31" s="91" t="s">
        <v>437</v>
      </c>
    </row>
    <row r="32">
      <c r="A32" s="79" t="s">
        <v>438</v>
      </c>
      <c r="B32" s="79" t="s">
        <v>251</v>
      </c>
      <c r="C32" s="79" t="s">
        <v>241</v>
      </c>
      <c r="D32" s="79" t="s">
        <v>253</v>
      </c>
      <c r="E32" s="80" t="s">
        <v>244</v>
      </c>
      <c r="F32" s="102">
        <v>2.0</v>
      </c>
      <c r="G32" s="80">
        <v>0.0</v>
      </c>
      <c r="H32" s="80" t="s">
        <v>440</v>
      </c>
      <c r="I32" s="80" t="s">
        <v>259</v>
      </c>
      <c r="J32" s="80" t="s">
        <v>260</v>
      </c>
      <c r="K32" s="80" t="s">
        <v>441</v>
      </c>
      <c r="L32" s="80" t="s">
        <v>442</v>
      </c>
    </row>
    <row r="33">
      <c r="A33" s="43" t="s">
        <v>443</v>
      </c>
      <c r="B33" s="43" t="s">
        <v>293</v>
      </c>
      <c r="C33" s="43" t="s">
        <v>302</v>
      </c>
      <c r="D33" s="43" t="s">
        <v>253</v>
      </c>
      <c r="E33" s="91" t="s">
        <v>445</v>
      </c>
      <c r="F33" s="91" t="s">
        <v>446</v>
      </c>
      <c r="G33" s="91">
        <v>0.0</v>
      </c>
      <c r="H33" s="91" t="s">
        <v>430</v>
      </c>
      <c r="I33" s="91" t="s">
        <v>259</v>
      </c>
      <c r="J33" s="91" t="s">
        <v>260</v>
      </c>
      <c r="K33" s="91" t="s">
        <v>447</v>
      </c>
      <c r="L33" s="91" t="s">
        <v>448</v>
      </c>
    </row>
    <row r="34">
      <c r="A34" s="73" t="s">
        <v>449</v>
      </c>
      <c r="B34" s="73" t="s">
        <v>240</v>
      </c>
      <c r="C34" s="73" t="s">
        <v>252</v>
      </c>
      <c r="D34" s="73" t="s">
        <v>243</v>
      </c>
      <c r="E34" s="77" t="s">
        <v>451</v>
      </c>
      <c r="F34" s="77" t="s">
        <v>350</v>
      </c>
      <c r="G34" s="77">
        <v>0.0</v>
      </c>
      <c r="H34" s="77">
        <v>0.0</v>
      </c>
      <c r="I34" s="77" t="s">
        <v>452</v>
      </c>
      <c r="J34" s="77" t="s">
        <v>260</v>
      </c>
      <c r="K34" s="77" t="s">
        <v>453</v>
      </c>
      <c r="L34" s="77" t="s">
        <v>454</v>
      </c>
    </row>
    <row r="35">
      <c r="A35" s="81" t="s">
        <v>455</v>
      </c>
      <c r="B35" s="81" t="s">
        <v>265</v>
      </c>
      <c r="C35" s="81" t="s">
        <v>241</v>
      </c>
      <c r="D35" s="81" t="s">
        <v>253</v>
      </c>
      <c r="E35" s="82" t="s">
        <v>457</v>
      </c>
      <c r="F35" s="82" t="s">
        <v>304</v>
      </c>
      <c r="G35" s="82" t="s">
        <v>298</v>
      </c>
      <c r="H35" s="82" t="s">
        <v>258</v>
      </c>
      <c r="I35" s="82" t="s">
        <v>259</v>
      </c>
      <c r="J35" s="82" t="s">
        <v>260</v>
      </c>
      <c r="K35" s="82" t="s">
        <v>431</v>
      </c>
      <c r="L35" s="82" t="s">
        <v>284</v>
      </c>
    </row>
    <row r="36">
      <c r="A36" s="73" t="s">
        <v>458</v>
      </c>
      <c r="B36" s="73" t="s">
        <v>240</v>
      </c>
      <c r="C36" s="73" t="s">
        <v>241</v>
      </c>
      <c r="D36" s="73" t="s">
        <v>243</v>
      </c>
      <c r="E36" s="77" t="s">
        <v>460</v>
      </c>
      <c r="F36" s="76">
        <v>1.8</v>
      </c>
      <c r="G36" s="77">
        <v>0.0</v>
      </c>
      <c r="H36" s="77" t="s">
        <v>461</v>
      </c>
      <c r="I36" s="77" t="s">
        <v>462</v>
      </c>
      <c r="J36" s="77" t="s">
        <v>260</v>
      </c>
      <c r="K36" s="77" t="s">
        <v>463</v>
      </c>
      <c r="L36" s="77" t="s">
        <v>464</v>
      </c>
    </row>
    <row r="37">
      <c r="A37" s="55" t="s">
        <v>465</v>
      </c>
      <c r="B37" s="55" t="s">
        <v>286</v>
      </c>
      <c r="C37" s="55" t="s">
        <v>294</v>
      </c>
      <c r="D37" s="55" t="s">
        <v>253</v>
      </c>
      <c r="E37" s="88" t="s">
        <v>467</v>
      </c>
      <c r="F37" s="88" t="s">
        <v>468</v>
      </c>
      <c r="G37" s="88">
        <v>0.0</v>
      </c>
      <c r="H37" s="88" t="s">
        <v>469</v>
      </c>
      <c r="I37" s="88" t="s">
        <v>259</v>
      </c>
      <c r="J37" s="88" t="s">
        <v>260</v>
      </c>
      <c r="K37" s="88" t="s">
        <v>470</v>
      </c>
      <c r="L37" s="88" t="s">
        <v>328</v>
      </c>
    </row>
    <row r="38">
      <c r="A38" s="35" t="s">
        <v>471</v>
      </c>
      <c r="B38" s="35" t="s">
        <v>331</v>
      </c>
      <c r="C38" s="35" t="s">
        <v>241</v>
      </c>
      <c r="D38" s="35" t="s">
        <v>243</v>
      </c>
      <c r="E38" s="94" t="s">
        <v>244</v>
      </c>
      <c r="F38" s="94" t="s">
        <v>473</v>
      </c>
      <c r="G38" s="94" t="s">
        <v>474</v>
      </c>
      <c r="H38" s="94">
        <v>0.0</v>
      </c>
      <c r="I38" s="94">
        <v>50000.0</v>
      </c>
      <c r="J38" s="94" t="s">
        <v>260</v>
      </c>
      <c r="K38" s="94" t="s">
        <v>475</v>
      </c>
      <c r="L38" s="94" t="s">
        <v>248</v>
      </c>
    </row>
    <row r="39">
      <c r="A39" s="55" t="s">
        <v>476</v>
      </c>
      <c r="B39" s="55" t="s">
        <v>286</v>
      </c>
      <c r="C39" s="55" t="s">
        <v>302</v>
      </c>
      <c r="D39" s="55" t="s">
        <v>243</v>
      </c>
      <c r="E39" s="88" t="s">
        <v>244</v>
      </c>
      <c r="F39" s="88" t="s">
        <v>403</v>
      </c>
      <c r="G39" s="88" t="s">
        <v>426</v>
      </c>
      <c r="H39" s="88">
        <v>0.0</v>
      </c>
      <c r="I39" s="88" t="s">
        <v>319</v>
      </c>
      <c r="J39" s="88" t="s">
        <v>260</v>
      </c>
      <c r="K39" s="88" t="s">
        <v>475</v>
      </c>
      <c r="L39" s="88" t="s">
        <v>248</v>
      </c>
    </row>
    <row r="40">
      <c r="A40" s="35" t="s">
        <v>478</v>
      </c>
      <c r="B40" s="35" t="s">
        <v>331</v>
      </c>
      <c r="C40" s="35" t="s">
        <v>252</v>
      </c>
      <c r="D40" s="35" t="s">
        <v>332</v>
      </c>
      <c r="E40" s="94" t="s">
        <v>480</v>
      </c>
      <c r="F40" s="94" t="s">
        <v>481</v>
      </c>
      <c r="G40" s="94" t="s">
        <v>482</v>
      </c>
      <c r="H40" s="94" t="s">
        <v>483</v>
      </c>
      <c r="I40" s="94" t="s">
        <v>259</v>
      </c>
      <c r="J40" s="94" t="s">
        <v>260</v>
      </c>
      <c r="K40" s="94" t="s">
        <v>484</v>
      </c>
      <c r="L40" s="94" t="s">
        <v>485</v>
      </c>
    </row>
    <row r="41">
      <c r="A41" s="79" t="s">
        <v>486</v>
      </c>
      <c r="B41" s="79" t="s">
        <v>251</v>
      </c>
      <c r="C41" s="79" t="s">
        <v>241</v>
      </c>
      <c r="D41" s="79" t="s">
        <v>253</v>
      </c>
      <c r="E41" s="80" t="s">
        <v>487</v>
      </c>
      <c r="F41" s="102">
        <v>1.3</v>
      </c>
      <c r="G41" s="80">
        <v>0.0</v>
      </c>
      <c r="H41" s="80" t="s">
        <v>258</v>
      </c>
      <c r="I41" s="80" t="s">
        <v>259</v>
      </c>
      <c r="J41" s="80" t="s">
        <v>260</v>
      </c>
      <c r="K41" s="80" t="s">
        <v>489</v>
      </c>
      <c r="L41" s="80" t="s">
        <v>308</v>
      </c>
    </row>
    <row r="42">
      <c r="A42" s="35" t="s">
        <v>490</v>
      </c>
      <c r="B42" s="35" t="s">
        <v>331</v>
      </c>
      <c r="C42" s="35" t="s">
        <v>241</v>
      </c>
      <c r="D42" s="35" t="s">
        <v>332</v>
      </c>
      <c r="E42" s="94" t="s">
        <v>491</v>
      </c>
      <c r="F42" s="94" t="s">
        <v>492</v>
      </c>
      <c r="G42" s="94" t="s">
        <v>391</v>
      </c>
      <c r="H42" s="94">
        <v>0.0</v>
      </c>
      <c r="I42" s="94" t="s">
        <v>259</v>
      </c>
      <c r="J42" s="94" t="s">
        <v>260</v>
      </c>
      <c r="K42" s="94" t="s">
        <v>283</v>
      </c>
      <c r="L42" s="94" t="s">
        <v>494</v>
      </c>
    </row>
    <row r="43">
      <c r="A43" s="73" t="s">
        <v>495</v>
      </c>
      <c r="B43" s="73" t="s">
        <v>240</v>
      </c>
      <c r="C43" s="73" t="s">
        <v>252</v>
      </c>
      <c r="D43" s="73" t="s">
        <v>243</v>
      </c>
      <c r="E43" s="77" t="s">
        <v>244</v>
      </c>
      <c r="F43" s="77" t="s">
        <v>304</v>
      </c>
      <c r="G43" s="77" t="s">
        <v>496</v>
      </c>
      <c r="H43" s="77">
        <v>0.0</v>
      </c>
      <c r="I43" s="77" t="s">
        <v>497</v>
      </c>
      <c r="J43" s="77" t="s">
        <v>260</v>
      </c>
      <c r="K43" s="77" t="s">
        <v>394</v>
      </c>
      <c r="L43" s="77" t="s">
        <v>248</v>
      </c>
    </row>
    <row r="44">
      <c r="A44" s="95" t="s">
        <v>499</v>
      </c>
      <c r="B44" s="95" t="s">
        <v>342</v>
      </c>
      <c r="C44" s="95" t="s">
        <v>279</v>
      </c>
      <c r="D44" s="95" t="s">
        <v>332</v>
      </c>
      <c r="E44" s="96" t="s">
        <v>500</v>
      </c>
      <c r="F44" s="96" t="s">
        <v>344</v>
      </c>
      <c r="G44" s="96" t="s">
        <v>501</v>
      </c>
      <c r="H44" s="96" t="s">
        <v>427</v>
      </c>
      <c r="I44" s="96" t="s">
        <v>259</v>
      </c>
      <c r="J44" s="96" t="s">
        <v>260</v>
      </c>
      <c r="K44" s="96" t="s">
        <v>347</v>
      </c>
      <c r="L44" s="96" t="s">
        <v>502</v>
      </c>
    </row>
    <row r="45">
      <c r="A45" s="35" t="s">
        <v>504</v>
      </c>
      <c r="B45" s="35" t="s">
        <v>331</v>
      </c>
      <c r="C45" s="35" t="s">
        <v>294</v>
      </c>
      <c r="D45" s="35" t="s">
        <v>332</v>
      </c>
      <c r="E45" s="94" t="s">
        <v>356</v>
      </c>
      <c r="F45" s="94" t="s">
        <v>492</v>
      </c>
      <c r="G45" s="94" t="s">
        <v>482</v>
      </c>
      <c r="H45" s="94" t="s">
        <v>505</v>
      </c>
      <c r="I45" s="94" t="s">
        <v>259</v>
      </c>
      <c r="J45" s="94" t="s">
        <v>260</v>
      </c>
      <c r="K45" s="94" t="s">
        <v>506</v>
      </c>
      <c r="L45" s="94" t="s">
        <v>485</v>
      </c>
    </row>
    <row r="46">
      <c r="A46" s="73" t="s">
        <v>507</v>
      </c>
      <c r="B46" s="73" t="s">
        <v>240</v>
      </c>
      <c r="C46" s="73" t="s">
        <v>294</v>
      </c>
      <c r="D46" s="73" t="s">
        <v>243</v>
      </c>
      <c r="E46" s="77" t="s">
        <v>451</v>
      </c>
      <c r="F46" s="77" t="s">
        <v>509</v>
      </c>
      <c r="G46" s="77">
        <v>0.0</v>
      </c>
      <c r="H46" s="77" t="s">
        <v>510</v>
      </c>
      <c r="I46" s="77" t="s">
        <v>511</v>
      </c>
      <c r="J46" s="77" t="s">
        <v>260</v>
      </c>
      <c r="K46" s="77" t="s">
        <v>512</v>
      </c>
      <c r="L46" s="77" t="s">
        <v>513</v>
      </c>
    </row>
    <row r="47">
      <c r="A47" s="73" t="s">
        <v>514</v>
      </c>
      <c r="B47" s="73" t="s">
        <v>240</v>
      </c>
      <c r="C47" s="73" t="s">
        <v>252</v>
      </c>
      <c r="D47" s="73" t="s">
        <v>253</v>
      </c>
      <c r="E47" s="77" t="s">
        <v>516</v>
      </c>
      <c r="F47" s="77" t="s">
        <v>517</v>
      </c>
      <c r="G47" s="77" t="s">
        <v>518</v>
      </c>
      <c r="H47" s="77" t="s">
        <v>519</v>
      </c>
      <c r="I47" s="77" t="s">
        <v>259</v>
      </c>
      <c r="J47" s="77" t="s">
        <v>260</v>
      </c>
      <c r="K47" s="77" t="s">
        <v>290</v>
      </c>
      <c r="L47" s="77" t="s">
        <v>520</v>
      </c>
    </row>
    <row r="48">
      <c r="A48" s="95" t="s">
        <v>521</v>
      </c>
      <c r="B48" s="95" t="s">
        <v>342</v>
      </c>
      <c r="C48" s="95" t="s">
        <v>241</v>
      </c>
      <c r="D48" s="95" t="s">
        <v>253</v>
      </c>
      <c r="E48" s="96" t="s">
        <v>324</v>
      </c>
      <c r="F48" s="96" t="s">
        <v>523</v>
      </c>
      <c r="G48" s="96">
        <v>0.0</v>
      </c>
      <c r="H48" s="96" t="s">
        <v>427</v>
      </c>
      <c r="I48" s="96" t="s">
        <v>259</v>
      </c>
      <c r="J48" s="96" t="s">
        <v>260</v>
      </c>
      <c r="K48" s="96" t="s">
        <v>283</v>
      </c>
      <c r="L48" s="96" t="s">
        <v>262</v>
      </c>
    </row>
    <row r="49">
      <c r="A49" s="81" t="s">
        <v>524</v>
      </c>
      <c r="B49" s="81" t="s">
        <v>265</v>
      </c>
      <c r="C49" s="81" t="s">
        <v>279</v>
      </c>
      <c r="D49" s="81" t="s">
        <v>253</v>
      </c>
      <c r="E49" s="82" t="s">
        <v>244</v>
      </c>
      <c r="F49" s="98">
        <v>2.0</v>
      </c>
      <c r="G49" s="82">
        <v>0.0</v>
      </c>
      <c r="H49" s="82" t="s">
        <v>326</v>
      </c>
      <c r="I49" s="82" t="s">
        <v>259</v>
      </c>
      <c r="J49" s="82" t="s">
        <v>260</v>
      </c>
      <c r="K49" s="82" t="s">
        <v>290</v>
      </c>
      <c r="L49" s="82" t="s">
        <v>291</v>
      </c>
    </row>
    <row r="50">
      <c r="A50" s="43" t="s">
        <v>526</v>
      </c>
      <c r="B50" s="43" t="s">
        <v>293</v>
      </c>
      <c r="C50" s="43" t="s">
        <v>302</v>
      </c>
      <c r="D50" s="43" t="s">
        <v>295</v>
      </c>
      <c r="E50" s="91" t="s">
        <v>527</v>
      </c>
      <c r="F50" s="91" t="s">
        <v>334</v>
      </c>
      <c r="G50" s="91">
        <v>0.0</v>
      </c>
      <c r="H50" s="91" t="s">
        <v>392</v>
      </c>
      <c r="I50" s="91" t="s">
        <v>528</v>
      </c>
      <c r="J50" s="91" t="s">
        <v>469</v>
      </c>
      <c r="K50" s="91" t="s">
        <v>374</v>
      </c>
      <c r="L50" s="91" t="s">
        <v>437</v>
      </c>
    </row>
    <row r="51">
      <c r="A51" s="73" t="s">
        <v>530</v>
      </c>
      <c r="B51" s="73" t="s">
        <v>240</v>
      </c>
      <c r="C51" s="73" t="s">
        <v>241</v>
      </c>
      <c r="D51" s="73" t="s">
        <v>243</v>
      </c>
      <c r="E51" s="77" t="s">
        <v>531</v>
      </c>
      <c r="F51" s="77" t="s">
        <v>350</v>
      </c>
      <c r="G51" s="77" t="s">
        <v>426</v>
      </c>
      <c r="H51" s="77">
        <v>700.0</v>
      </c>
      <c r="I51" s="77" t="s">
        <v>532</v>
      </c>
      <c r="J51" s="77" t="s">
        <v>260</v>
      </c>
      <c r="K51" s="77" t="s">
        <v>447</v>
      </c>
      <c r="L51" s="77" t="s">
        <v>534</v>
      </c>
    </row>
    <row r="52">
      <c r="A52" s="95" t="s">
        <v>535</v>
      </c>
      <c r="B52" s="95" t="s">
        <v>342</v>
      </c>
      <c r="C52" s="95" t="s">
        <v>279</v>
      </c>
      <c r="D52" s="95" t="s">
        <v>536</v>
      </c>
      <c r="E52" s="96" t="s">
        <v>537</v>
      </c>
      <c r="F52" s="96" t="s">
        <v>538</v>
      </c>
      <c r="G52" s="96" t="s">
        <v>539</v>
      </c>
      <c r="H52" s="96" t="s">
        <v>258</v>
      </c>
      <c r="I52" s="96" t="s">
        <v>259</v>
      </c>
      <c r="J52" s="96" t="s">
        <v>260</v>
      </c>
      <c r="K52" s="96" t="s">
        <v>540</v>
      </c>
      <c r="L52" s="96" t="s">
        <v>541</v>
      </c>
    </row>
    <row r="53">
      <c r="A53" s="55" t="s">
        <v>543</v>
      </c>
      <c r="B53" s="55" t="s">
        <v>286</v>
      </c>
      <c r="C53" s="55" t="s">
        <v>294</v>
      </c>
      <c r="D53" s="55" t="s">
        <v>253</v>
      </c>
      <c r="E53" s="88" t="s">
        <v>359</v>
      </c>
      <c r="F53" s="88" t="s">
        <v>304</v>
      </c>
      <c r="G53" s="88" t="s">
        <v>298</v>
      </c>
      <c r="H53" s="88" t="s">
        <v>469</v>
      </c>
      <c r="I53" s="88" t="s">
        <v>259</v>
      </c>
      <c r="J53" s="88" t="s">
        <v>260</v>
      </c>
      <c r="K53" s="88" t="s">
        <v>544</v>
      </c>
      <c r="L53" s="88" t="s">
        <v>328</v>
      </c>
    </row>
    <row r="54">
      <c r="A54" s="81" t="s">
        <v>546</v>
      </c>
      <c r="B54" s="81" t="s">
        <v>265</v>
      </c>
      <c r="C54" s="81" t="s">
        <v>252</v>
      </c>
      <c r="D54" s="81" t="s">
        <v>253</v>
      </c>
      <c r="E54" s="82" t="s">
        <v>547</v>
      </c>
      <c r="F54" s="82" t="s">
        <v>325</v>
      </c>
      <c r="G54" s="82">
        <v>0.0</v>
      </c>
      <c r="H54" s="82" t="s">
        <v>548</v>
      </c>
      <c r="I54" s="82" t="s">
        <v>259</v>
      </c>
      <c r="J54" s="82" t="s">
        <v>260</v>
      </c>
      <c r="K54" s="82" t="s">
        <v>550</v>
      </c>
      <c r="L54" s="82" t="s">
        <v>284</v>
      </c>
    </row>
    <row r="55">
      <c r="A55" s="79" t="s">
        <v>551</v>
      </c>
      <c r="B55" s="79" t="s">
        <v>251</v>
      </c>
      <c r="C55" s="79" t="s">
        <v>252</v>
      </c>
      <c r="D55" s="79" t="s">
        <v>332</v>
      </c>
      <c r="E55" s="80" t="s">
        <v>244</v>
      </c>
      <c r="F55" s="80" t="s">
        <v>552</v>
      </c>
      <c r="G55" s="80" t="s">
        <v>553</v>
      </c>
      <c r="H55" s="80" t="s">
        <v>555</v>
      </c>
      <c r="I55" s="80" t="s">
        <v>556</v>
      </c>
      <c r="J55" s="80" t="s">
        <v>260</v>
      </c>
      <c r="K55" s="80" t="s">
        <v>557</v>
      </c>
      <c r="L55" s="80" t="s">
        <v>353</v>
      </c>
    </row>
    <row r="56">
      <c r="A56" s="81" t="s">
        <v>558</v>
      </c>
      <c r="B56" s="81" t="s">
        <v>265</v>
      </c>
      <c r="C56" s="81" t="s">
        <v>272</v>
      </c>
      <c r="D56" s="81" t="s">
        <v>253</v>
      </c>
      <c r="E56" s="82" t="s">
        <v>560</v>
      </c>
      <c r="F56" s="82" t="s">
        <v>325</v>
      </c>
      <c r="G56" s="82">
        <v>0.0</v>
      </c>
      <c r="H56" s="82" t="s">
        <v>469</v>
      </c>
      <c r="I56" s="82" t="s">
        <v>259</v>
      </c>
      <c r="J56" s="82" t="s">
        <v>260</v>
      </c>
      <c r="K56" s="82" t="s">
        <v>561</v>
      </c>
      <c r="L56" s="82" t="s">
        <v>562</v>
      </c>
    </row>
    <row r="57">
      <c r="A57" s="55" t="s">
        <v>563</v>
      </c>
      <c r="B57" s="55" t="s">
        <v>265</v>
      </c>
      <c r="C57" s="55" t="s">
        <v>279</v>
      </c>
      <c r="D57" s="55" t="s">
        <v>243</v>
      </c>
      <c r="E57" s="88" t="s">
        <v>565</v>
      </c>
      <c r="F57" s="88" t="s">
        <v>566</v>
      </c>
      <c r="G57" s="88" t="s">
        <v>567</v>
      </c>
      <c r="H57" s="88" t="s">
        <v>392</v>
      </c>
      <c r="I57" s="88" t="s">
        <v>568</v>
      </c>
      <c r="J57" s="88" t="s">
        <v>260</v>
      </c>
      <c r="K57" s="88" t="s">
        <v>569</v>
      </c>
      <c r="L57" s="88" t="s">
        <v>570</v>
      </c>
    </row>
    <row r="58">
      <c r="A58" s="79" t="s">
        <v>571</v>
      </c>
      <c r="B58" s="79" t="s">
        <v>251</v>
      </c>
      <c r="C58" s="79" t="s">
        <v>279</v>
      </c>
      <c r="D58" s="79" t="s">
        <v>253</v>
      </c>
      <c r="E58" s="80" t="s">
        <v>573</v>
      </c>
      <c r="F58" s="80" t="s">
        <v>344</v>
      </c>
      <c r="G58" s="80">
        <v>0.0</v>
      </c>
      <c r="H58" s="80" t="s">
        <v>574</v>
      </c>
      <c r="I58" s="80" t="s">
        <v>259</v>
      </c>
      <c r="J58" s="80" t="s">
        <v>260</v>
      </c>
      <c r="K58" s="80" t="s">
        <v>374</v>
      </c>
      <c r="L58" s="80" t="s">
        <v>308</v>
      </c>
    </row>
    <row r="59">
      <c r="A59" s="81" t="s">
        <v>575</v>
      </c>
      <c r="B59" s="81" t="s">
        <v>265</v>
      </c>
      <c r="C59" s="81" t="s">
        <v>294</v>
      </c>
      <c r="D59" s="81" t="s">
        <v>253</v>
      </c>
      <c r="E59" s="82" t="s">
        <v>576</v>
      </c>
      <c r="F59" s="82" t="s">
        <v>334</v>
      </c>
      <c r="G59" s="82" t="s">
        <v>501</v>
      </c>
      <c r="H59" s="82" t="s">
        <v>578</v>
      </c>
      <c r="I59" s="82" t="s">
        <v>259</v>
      </c>
      <c r="J59" s="82" t="s">
        <v>260</v>
      </c>
      <c r="K59" s="82" t="s">
        <v>506</v>
      </c>
      <c r="L59" s="82" t="s">
        <v>579</v>
      </c>
    </row>
    <row r="60">
      <c r="A60" s="43" t="s">
        <v>580</v>
      </c>
      <c r="B60" s="43" t="s">
        <v>293</v>
      </c>
      <c r="C60" s="43" t="s">
        <v>252</v>
      </c>
      <c r="D60" s="43" t="s">
        <v>295</v>
      </c>
      <c r="E60" s="91" t="s">
        <v>581</v>
      </c>
      <c r="F60" s="91" t="s">
        <v>344</v>
      </c>
      <c r="G60" s="91">
        <v>0.0</v>
      </c>
      <c r="H60" s="91" t="s">
        <v>583</v>
      </c>
      <c r="I60" s="91" t="s">
        <v>259</v>
      </c>
      <c r="J60" s="91" t="s">
        <v>584</v>
      </c>
      <c r="K60" s="91" t="s">
        <v>585</v>
      </c>
      <c r="L60" s="91" t="s">
        <v>437</v>
      </c>
    </row>
    <row r="61">
      <c r="A61" s="43" t="s">
        <v>586</v>
      </c>
      <c r="B61" s="43" t="s">
        <v>293</v>
      </c>
      <c r="C61" s="43" t="s">
        <v>252</v>
      </c>
      <c r="D61" s="43" t="s">
        <v>243</v>
      </c>
      <c r="E61" s="91" t="s">
        <v>587</v>
      </c>
      <c r="F61" s="91" t="s">
        <v>325</v>
      </c>
      <c r="G61" s="91">
        <v>0.0</v>
      </c>
      <c r="H61" s="91" t="s">
        <v>588</v>
      </c>
      <c r="I61" s="91" t="s">
        <v>589</v>
      </c>
      <c r="J61" s="91" t="s">
        <v>260</v>
      </c>
      <c r="K61" s="91" t="s">
        <v>585</v>
      </c>
      <c r="L61" s="91" t="s">
        <v>590</v>
      </c>
    </row>
    <row r="62">
      <c r="A62" s="73" t="s">
        <v>591</v>
      </c>
      <c r="B62" s="73" t="s">
        <v>240</v>
      </c>
      <c r="C62" s="73" t="s">
        <v>294</v>
      </c>
      <c r="D62" s="73" t="s">
        <v>253</v>
      </c>
      <c r="E62" s="77" t="s">
        <v>592</v>
      </c>
      <c r="F62" s="77" t="s">
        <v>425</v>
      </c>
      <c r="G62" s="77" t="s">
        <v>298</v>
      </c>
      <c r="H62" s="77" t="s">
        <v>593</v>
      </c>
      <c r="I62" s="77" t="s">
        <v>259</v>
      </c>
      <c r="J62" s="77" t="s">
        <v>260</v>
      </c>
      <c r="K62" s="77" t="s">
        <v>594</v>
      </c>
      <c r="L62" s="77" t="s">
        <v>520</v>
      </c>
    </row>
    <row r="63">
      <c r="A63" s="55" t="s">
        <v>595</v>
      </c>
      <c r="B63" s="55" t="s">
        <v>286</v>
      </c>
      <c r="C63" s="55" t="s">
        <v>241</v>
      </c>
      <c r="D63" s="55" t="s">
        <v>253</v>
      </c>
      <c r="E63" s="88" t="s">
        <v>596</v>
      </c>
      <c r="F63" s="88" t="s">
        <v>334</v>
      </c>
      <c r="G63" s="88" t="s">
        <v>597</v>
      </c>
      <c r="H63" s="88" t="s">
        <v>598</v>
      </c>
      <c r="I63" s="88" t="s">
        <v>259</v>
      </c>
      <c r="J63" s="88" t="s">
        <v>260</v>
      </c>
      <c r="K63" s="88" t="s">
        <v>599</v>
      </c>
      <c r="L63" s="88" t="s">
        <v>328</v>
      </c>
    </row>
    <row r="64">
      <c r="A64" s="79" t="s">
        <v>600</v>
      </c>
      <c r="B64" s="79" t="s">
        <v>251</v>
      </c>
      <c r="C64" s="79" t="s">
        <v>294</v>
      </c>
      <c r="D64" s="79" t="s">
        <v>332</v>
      </c>
      <c r="E64" s="80" t="s">
        <v>601</v>
      </c>
      <c r="F64" s="80" t="s">
        <v>350</v>
      </c>
      <c r="G64" s="80" t="s">
        <v>602</v>
      </c>
      <c r="H64" s="80" t="s">
        <v>603</v>
      </c>
      <c r="I64" s="80" t="s">
        <v>259</v>
      </c>
      <c r="J64" s="80" t="s">
        <v>260</v>
      </c>
      <c r="K64" s="80" t="s">
        <v>604</v>
      </c>
      <c r="L64" s="80" t="s">
        <v>308</v>
      </c>
    </row>
    <row r="65">
      <c r="A65" s="95" t="s">
        <v>605</v>
      </c>
      <c r="B65" s="95" t="s">
        <v>342</v>
      </c>
      <c r="C65" s="95" t="s">
        <v>252</v>
      </c>
      <c r="D65" s="95" t="s">
        <v>253</v>
      </c>
      <c r="E65" s="96" t="s">
        <v>606</v>
      </c>
      <c r="F65" s="96" t="s">
        <v>344</v>
      </c>
      <c r="G65" s="96" t="s">
        <v>567</v>
      </c>
      <c r="H65" s="96" t="s">
        <v>598</v>
      </c>
      <c r="I65" s="96" t="s">
        <v>259</v>
      </c>
      <c r="J65" s="96" t="s">
        <v>260</v>
      </c>
      <c r="K65" s="96" t="s">
        <v>607</v>
      </c>
      <c r="L65" s="96" t="s">
        <v>608</v>
      </c>
    </row>
    <row r="66">
      <c r="A66" s="73" t="s">
        <v>609</v>
      </c>
      <c r="B66" s="73" t="s">
        <v>240</v>
      </c>
      <c r="C66" s="73" t="s">
        <v>241</v>
      </c>
      <c r="D66" s="73" t="s">
        <v>536</v>
      </c>
      <c r="E66" s="77" t="s">
        <v>610</v>
      </c>
      <c r="F66" s="77" t="s">
        <v>611</v>
      </c>
      <c r="G66" s="77" t="s">
        <v>298</v>
      </c>
      <c r="H66" s="77" t="s">
        <v>612</v>
      </c>
      <c r="I66" s="77" t="s">
        <v>259</v>
      </c>
      <c r="J66" s="77" t="s">
        <v>260</v>
      </c>
      <c r="K66" s="77" t="s">
        <v>613</v>
      </c>
      <c r="L66" s="77" t="s">
        <v>614</v>
      </c>
    </row>
    <row r="67">
      <c r="A67" s="81" t="s">
        <v>615</v>
      </c>
      <c r="B67" s="81" t="s">
        <v>265</v>
      </c>
      <c r="C67" s="81" t="s">
        <v>252</v>
      </c>
      <c r="D67" s="81" t="s">
        <v>253</v>
      </c>
      <c r="E67" s="82" t="s">
        <v>616</v>
      </c>
      <c r="F67" s="82" t="s">
        <v>617</v>
      </c>
      <c r="G67" s="82">
        <v>0.0</v>
      </c>
      <c r="H67" s="82" t="s">
        <v>618</v>
      </c>
      <c r="I67" s="82" t="s">
        <v>259</v>
      </c>
      <c r="J67" s="82" t="s">
        <v>260</v>
      </c>
      <c r="K67" s="82" t="s">
        <v>619</v>
      </c>
      <c r="L67" s="82" t="s">
        <v>620</v>
      </c>
    </row>
    <row r="68">
      <c r="A68" s="55" t="s">
        <v>621</v>
      </c>
      <c r="B68" s="55" t="s">
        <v>286</v>
      </c>
      <c r="C68" s="55" t="s">
        <v>272</v>
      </c>
      <c r="D68" s="55" t="s">
        <v>253</v>
      </c>
      <c r="E68" s="88" t="s">
        <v>622</v>
      </c>
      <c r="F68" s="88" t="s">
        <v>344</v>
      </c>
      <c r="G68" s="88" t="s">
        <v>567</v>
      </c>
      <c r="H68" s="88" t="s">
        <v>618</v>
      </c>
      <c r="I68" s="88" t="s">
        <v>259</v>
      </c>
      <c r="J68" s="88" t="s">
        <v>260</v>
      </c>
      <c r="K68" s="88" t="s">
        <v>623</v>
      </c>
      <c r="L68" s="88" t="s">
        <v>387</v>
      </c>
    </row>
    <row r="69">
      <c r="A69" s="79" t="s">
        <v>624</v>
      </c>
      <c r="B69" s="79" t="s">
        <v>251</v>
      </c>
      <c r="C69" s="79" t="s">
        <v>252</v>
      </c>
      <c r="D69" s="79" t="s">
        <v>253</v>
      </c>
      <c r="E69" s="80" t="s">
        <v>616</v>
      </c>
      <c r="F69" s="80" t="s">
        <v>625</v>
      </c>
      <c r="G69" s="80" t="s">
        <v>298</v>
      </c>
      <c r="H69" s="80" t="s">
        <v>583</v>
      </c>
      <c r="I69" s="80" t="s">
        <v>259</v>
      </c>
      <c r="J69" s="80" t="s">
        <v>260</v>
      </c>
      <c r="K69" s="80" t="s">
        <v>604</v>
      </c>
      <c r="L69" s="80" t="s">
        <v>620</v>
      </c>
    </row>
    <row r="72">
      <c r="A72" s="69" t="s">
        <v>626</v>
      </c>
    </row>
    <row r="73">
      <c r="A73" s="103" t="s">
        <v>224</v>
      </c>
      <c r="B73" s="103" t="s">
        <v>225</v>
      </c>
      <c r="C73" s="103" t="s">
        <v>227</v>
      </c>
      <c r="D73" s="103" t="s">
        <v>228</v>
      </c>
      <c r="E73" s="103" t="s">
        <v>229</v>
      </c>
      <c r="F73" s="103" t="s">
        <v>230</v>
      </c>
      <c r="G73" s="103" t="s">
        <v>231</v>
      </c>
      <c r="H73" s="103" t="s">
        <v>232</v>
      </c>
      <c r="I73" s="103" t="s">
        <v>233</v>
      </c>
      <c r="J73" s="104" t="s">
        <v>235</v>
      </c>
      <c r="K73" s="104" t="s">
        <v>627</v>
      </c>
      <c r="L73" s="104" t="s">
        <v>237</v>
      </c>
    </row>
    <row r="74">
      <c r="A74" s="95" t="s">
        <v>628</v>
      </c>
      <c r="B74" s="95" t="s">
        <v>342</v>
      </c>
      <c r="C74" s="95" t="s">
        <v>279</v>
      </c>
      <c r="D74" s="95" t="s">
        <v>253</v>
      </c>
      <c r="E74" s="95" t="s">
        <v>244</v>
      </c>
      <c r="F74" s="95" t="s">
        <v>365</v>
      </c>
      <c r="G74" s="96">
        <v>100.0</v>
      </c>
      <c r="H74" s="96" t="s">
        <v>258</v>
      </c>
      <c r="I74" s="96">
        <v>10000.0</v>
      </c>
      <c r="J74" s="96">
        <v>50.0</v>
      </c>
      <c r="K74" s="96" t="s">
        <v>629</v>
      </c>
      <c r="L74" s="95" t="s">
        <v>442</v>
      </c>
    </row>
    <row r="75">
      <c r="A75" s="80" t="s">
        <v>630</v>
      </c>
      <c r="B75" s="80" t="s">
        <v>251</v>
      </c>
      <c r="C75" s="80" t="s">
        <v>631</v>
      </c>
      <c r="D75" s="80" t="s">
        <v>253</v>
      </c>
      <c r="E75" s="80" t="s">
        <v>632</v>
      </c>
      <c r="F75" s="102">
        <v>2.0</v>
      </c>
      <c r="G75" s="80" t="s">
        <v>257</v>
      </c>
      <c r="H75" s="80" t="s">
        <v>633</v>
      </c>
      <c r="I75" s="80" t="s">
        <v>259</v>
      </c>
      <c r="J75" s="80">
        <v>50.0</v>
      </c>
      <c r="K75" s="80" t="s">
        <v>634</v>
      </c>
      <c r="L75" s="80" t="s">
        <v>442</v>
      </c>
    </row>
    <row r="76">
      <c r="A76" s="43" t="s">
        <v>635</v>
      </c>
      <c r="B76" s="43" t="s">
        <v>293</v>
      </c>
      <c r="C76" s="43" t="s">
        <v>279</v>
      </c>
      <c r="D76" s="43" t="s">
        <v>332</v>
      </c>
      <c r="E76" s="43" t="s">
        <v>244</v>
      </c>
      <c r="F76" s="43" t="s">
        <v>317</v>
      </c>
      <c r="G76" s="91" t="s">
        <v>392</v>
      </c>
      <c r="H76" s="91">
        <v>500.0</v>
      </c>
      <c r="I76" s="91">
        <v>10000.0</v>
      </c>
      <c r="J76" s="91">
        <v>50.0</v>
      </c>
      <c r="K76" s="91" t="s">
        <v>636</v>
      </c>
      <c r="L76" s="43" t="s">
        <v>395</v>
      </c>
    </row>
    <row r="77">
      <c r="A77" s="80" t="s">
        <v>637</v>
      </c>
      <c r="B77" s="80" t="s">
        <v>251</v>
      </c>
      <c r="C77" s="80" t="s">
        <v>294</v>
      </c>
      <c r="D77" s="80" t="s">
        <v>253</v>
      </c>
      <c r="E77" s="80" t="s">
        <v>638</v>
      </c>
      <c r="F77" s="102">
        <v>2.0</v>
      </c>
      <c r="G77" s="80" t="s">
        <v>639</v>
      </c>
      <c r="H77" s="80" t="s">
        <v>618</v>
      </c>
      <c r="I77" s="80" t="s">
        <v>259</v>
      </c>
      <c r="J77" s="80">
        <v>50.0</v>
      </c>
      <c r="K77" s="80" t="s">
        <v>640</v>
      </c>
      <c r="L77" s="80" t="s">
        <v>442</v>
      </c>
    </row>
    <row r="78">
      <c r="A78" s="77" t="s">
        <v>641</v>
      </c>
      <c r="B78" s="77" t="s">
        <v>240</v>
      </c>
      <c r="C78" s="77" t="s">
        <v>272</v>
      </c>
      <c r="D78" s="77" t="s">
        <v>642</v>
      </c>
      <c r="E78" s="77" t="s">
        <v>638</v>
      </c>
      <c r="F78" s="77" t="s">
        <v>403</v>
      </c>
      <c r="G78" s="77" t="s">
        <v>335</v>
      </c>
      <c r="H78" s="77" t="s">
        <v>461</v>
      </c>
      <c r="I78" s="77" t="s">
        <v>259</v>
      </c>
      <c r="J78" s="77">
        <v>50.0</v>
      </c>
      <c r="K78" s="77" t="s">
        <v>643</v>
      </c>
      <c r="L78" s="77" t="s">
        <v>644</v>
      </c>
    </row>
    <row r="79">
      <c r="A79" s="77" t="s">
        <v>645</v>
      </c>
      <c r="B79" s="77" t="s">
        <v>240</v>
      </c>
      <c r="C79" s="77" t="s">
        <v>252</v>
      </c>
      <c r="D79" s="77" t="s">
        <v>642</v>
      </c>
      <c r="E79" s="77" t="s">
        <v>638</v>
      </c>
      <c r="F79" s="77" t="s">
        <v>646</v>
      </c>
      <c r="G79" s="77">
        <v>100.0</v>
      </c>
      <c r="H79" s="77" t="s">
        <v>461</v>
      </c>
      <c r="I79" s="77" t="s">
        <v>647</v>
      </c>
      <c r="J79" s="77">
        <v>50.0</v>
      </c>
      <c r="K79" s="77" t="s">
        <v>648</v>
      </c>
      <c r="L79" s="77" t="s">
        <v>649</v>
      </c>
    </row>
    <row r="80">
      <c r="A80" s="80" t="s">
        <v>650</v>
      </c>
      <c r="B80" s="80" t="s">
        <v>251</v>
      </c>
      <c r="C80" s="80" t="s">
        <v>241</v>
      </c>
      <c r="D80" s="80" t="s">
        <v>332</v>
      </c>
      <c r="E80" s="80" t="s">
        <v>651</v>
      </c>
      <c r="F80" s="80" t="s">
        <v>652</v>
      </c>
      <c r="G80" s="80" t="s">
        <v>653</v>
      </c>
      <c r="H80" s="80" t="s">
        <v>461</v>
      </c>
      <c r="I80" s="80" t="s">
        <v>259</v>
      </c>
      <c r="J80" s="80">
        <v>50.0</v>
      </c>
      <c r="K80" s="80" t="s">
        <v>654</v>
      </c>
      <c r="L80" s="80" t="s">
        <v>655</v>
      </c>
    </row>
    <row r="81">
      <c r="A81" s="96" t="s">
        <v>656</v>
      </c>
      <c r="B81" s="96" t="s">
        <v>342</v>
      </c>
      <c r="C81" s="96" t="s">
        <v>279</v>
      </c>
      <c r="D81" s="96" t="s">
        <v>253</v>
      </c>
      <c r="E81" s="96" t="s">
        <v>638</v>
      </c>
      <c r="F81" s="96" t="s">
        <v>473</v>
      </c>
      <c r="G81" s="96">
        <v>100.0</v>
      </c>
      <c r="H81" s="96" t="s">
        <v>326</v>
      </c>
      <c r="I81" s="96" t="s">
        <v>259</v>
      </c>
      <c r="J81" s="96">
        <v>50.0</v>
      </c>
      <c r="K81" s="96" t="s">
        <v>657</v>
      </c>
      <c r="L81" s="96" t="s">
        <v>658</v>
      </c>
    </row>
    <row r="82">
      <c r="A82" s="80" t="s">
        <v>659</v>
      </c>
      <c r="B82" s="80" t="s">
        <v>251</v>
      </c>
      <c r="C82" s="80" t="s">
        <v>241</v>
      </c>
      <c r="D82" s="80" t="s">
        <v>253</v>
      </c>
      <c r="E82" s="80" t="s">
        <v>638</v>
      </c>
      <c r="F82" s="80" t="s">
        <v>660</v>
      </c>
      <c r="G82" s="80" t="s">
        <v>567</v>
      </c>
      <c r="H82" s="80" t="s">
        <v>661</v>
      </c>
      <c r="I82" s="80">
        <v>10000.0</v>
      </c>
      <c r="J82" s="80">
        <v>50.0</v>
      </c>
      <c r="K82" s="80" t="s">
        <v>662</v>
      </c>
      <c r="L82" s="80" t="s">
        <v>658</v>
      </c>
    </row>
    <row r="83">
      <c r="A83" s="96" t="s">
        <v>663</v>
      </c>
      <c r="B83" s="96" t="s">
        <v>342</v>
      </c>
      <c r="C83" s="96" t="s">
        <v>294</v>
      </c>
      <c r="D83" s="96" t="s">
        <v>253</v>
      </c>
      <c r="E83" s="96" t="s">
        <v>651</v>
      </c>
      <c r="F83" s="96" t="s">
        <v>664</v>
      </c>
      <c r="G83" s="96">
        <v>100.0</v>
      </c>
      <c r="H83" s="96" t="s">
        <v>258</v>
      </c>
      <c r="I83" s="96">
        <v>10000.0</v>
      </c>
      <c r="J83" s="96">
        <v>50.0</v>
      </c>
      <c r="K83" s="96" t="s">
        <v>665</v>
      </c>
      <c r="L83" s="96" t="s">
        <v>666</v>
      </c>
    </row>
    <row r="84">
      <c r="A84" s="91" t="s">
        <v>667</v>
      </c>
      <c r="B84" s="91" t="s">
        <v>293</v>
      </c>
      <c r="C84" s="91" t="s">
        <v>279</v>
      </c>
      <c r="D84" s="91" t="s">
        <v>295</v>
      </c>
      <c r="E84" s="91" t="s">
        <v>668</v>
      </c>
      <c r="F84" s="91" t="s">
        <v>664</v>
      </c>
      <c r="G84" s="91">
        <v>100.0</v>
      </c>
      <c r="H84" s="91">
        <v>500.0</v>
      </c>
      <c r="I84" s="91">
        <v>10000.0</v>
      </c>
      <c r="J84" s="91" t="s">
        <v>669</v>
      </c>
      <c r="K84" s="91" t="s">
        <v>670</v>
      </c>
      <c r="L84" s="91" t="s">
        <v>671</v>
      </c>
    </row>
    <row r="85">
      <c r="A85" s="96" t="s">
        <v>672</v>
      </c>
      <c r="B85" s="96" t="s">
        <v>342</v>
      </c>
      <c r="C85" s="96" t="s">
        <v>294</v>
      </c>
      <c r="D85" s="96" t="s">
        <v>673</v>
      </c>
      <c r="E85" s="96" t="s">
        <v>674</v>
      </c>
      <c r="F85" s="96" t="s">
        <v>492</v>
      </c>
      <c r="G85" s="96" t="s">
        <v>675</v>
      </c>
      <c r="H85" s="96" t="s">
        <v>598</v>
      </c>
      <c r="I85" s="96">
        <v>10000.0</v>
      </c>
      <c r="J85" s="96">
        <v>50.0</v>
      </c>
      <c r="K85" s="96" t="s">
        <v>676</v>
      </c>
      <c r="L85" s="96" t="s">
        <v>677</v>
      </c>
    </row>
    <row r="86">
      <c r="A86" s="88" t="s">
        <v>678</v>
      </c>
      <c r="B86" s="88" t="s">
        <v>286</v>
      </c>
      <c r="C86" s="88" t="s">
        <v>272</v>
      </c>
      <c r="D86" s="88" t="s">
        <v>253</v>
      </c>
      <c r="E86" s="88" t="s">
        <v>679</v>
      </c>
      <c r="F86" s="88" t="s">
        <v>523</v>
      </c>
      <c r="G86" s="88" t="s">
        <v>567</v>
      </c>
      <c r="H86" s="88" t="s">
        <v>282</v>
      </c>
      <c r="I86" s="88">
        <v>10000.0</v>
      </c>
      <c r="J86" s="88">
        <v>50.0</v>
      </c>
      <c r="K86" s="88" t="s">
        <v>629</v>
      </c>
      <c r="L86" s="88" t="s">
        <v>680</v>
      </c>
    </row>
    <row r="87">
      <c r="A87" s="88" t="s">
        <v>681</v>
      </c>
      <c r="B87" s="88" t="s">
        <v>286</v>
      </c>
      <c r="C87" s="88" t="s">
        <v>279</v>
      </c>
      <c r="D87" s="88" t="s">
        <v>243</v>
      </c>
      <c r="E87" s="88" t="s">
        <v>638</v>
      </c>
      <c r="F87" s="88" t="s">
        <v>403</v>
      </c>
      <c r="G87" s="88">
        <v>100.0</v>
      </c>
      <c r="H87" s="88">
        <v>500.0</v>
      </c>
      <c r="I87" s="88">
        <v>40000.0</v>
      </c>
      <c r="J87" s="88">
        <v>50.0</v>
      </c>
      <c r="K87" s="88" t="s">
        <v>662</v>
      </c>
      <c r="L87" s="88" t="s">
        <v>682</v>
      </c>
    </row>
    <row r="88">
      <c r="A88" s="82" t="s">
        <v>683</v>
      </c>
      <c r="B88" s="82" t="s">
        <v>265</v>
      </c>
      <c r="C88" s="82" t="s">
        <v>241</v>
      </c>
      <c r="D88" s="82" t="s">
        <v>253</v>
      </c>
      <c r="E88" s="82" t="s">
        <v>684</v>
      </c>
      <c r="F88" s="82" t="s">
        <v>403</v>
      </c>
      <c r="G88" s="82">
        <v>100.0</v>
      </c>
      <c r="H88" s="82" t="s">
        <v>685</v>
      </c>
      <c r="I88" s="82">
        <v>10000.0</v>
      </c>
      <c r="J88" s="82">
        <v>50.0</v>
      </c>
      <c r="K88" s="82" t="s">
        <v>686</v>
      </c>
      <c r="L88" s="82" t="s">
        <v>687</v>
      </c>
    </row>
    <row r="89">
      <c r="A89" s="82" t="s">
        <v>688</v>
      </c>
      <c r="B89" s="82" t="s">
        <v>265</v>
      </c>
      <c r="C89" s="82" t="s">
        <v>279</v>
      </c>
      <c r="D89" s="82" t="s">
        <v>253</v>
      </c>
      <c r="E89" s="82" t="s">
        <v>689</v>
      </c>
      <c r="F89" s="82" t="s">
        <v>566</v>
      </c>
      <c r="G89" s="82">
        <v>100.0</v>
      </c>
      <c r="H89" s="82" t="s">
        <v>690</v>
      </c>
      <c r="I89" s="82">
        <v>10000.0</v>
      </c>
      <c r="J89" s="82">
        <v>50.0</v>
      </c>
      <c r="K89" s="82" t="s">
        <v>691</v>
      </c>
      <c r="L89" s="82" t="s">
        <v>692</v>
      </c>
    </row>
    <row r="90">
      <c r="A90" s="80" t="s">
        <v>693</v>
      </c>
      <c r="B90" s="80" t="s">
        <v>251</v>
      </c>
      <c r="C90" s="80" t="s">
        <v>252</v>
      </c>
      <c r="D90" s="80" t="s">
        <v>253</v>
      </c>
      <c r="E90" s="80" t="s">
        <v>694</v>
      </c>
      <c r="F90" s="80" t="s">
        <v>403</v>
      </c>
      <c r="G90" s="80" t="s">
        <v>695</v>
      </c>
      <c r="H90" s="80" t="s">
        <v>427</v>
      </c>
      <c r="I90" s="80">
        <v>10000.0</v>
      </c>
      <c r="J90" s="80">
        <v>50.0</v>
      </c>
      <c r="K90" s="80" t="s">
        <v>696</v>
      </c>
      <c r="L90" s="80" t="s">
        <v>697</v>
      </c>
    </row>
    <row r="91">
      <c r="A91" s="94" t="s">
        <v>698</v>
      </c>
      <c r="B91" s="94" t="s">
        <v>331</v>
      </c>
      <c r="C91" s="94" t="s">
        <v>252</v>
      </c>
      <c r="D91" s="94" t="s">
        <v>243</v>
      </c>
      <c r="E91" s="94" t="s">
        <v>244</v>
      </c>
      <c r="F91" s="94" t="s">
        <v>379</v>
      </c>
      <c r="G91" s="94" t="s">
        <v>567</v>
      </c>
      <c r="H91" s="94">
        <v>500.0</v>
      </c>
      <c r="I91" s="94" t="s">
        <v>699</v>
      </c>
      <c r="J91" s="94">
        <v>50.0</v>
      </c>
      <c r="K91" s="94" t="s">
        <v>662</v>
      </c>
      <c r="L91" s="94" t="s">
        <v>700</v>
      </c>
    </row>
    <row r="92">
      <c r="A92" s="94" t="s">
        <v>701</v>
      </c>
      <c r="B92" s="94" t="s">
        <v>331</v>
      </c>
      <c r="C92" s="94" t="s">
        <v>272</v>
      </c>
      <c r="D92" s="94" t="s">
        <v>332</v>
      </c>
      <c r="E92" s="94" t="s">
        <v>244</v>
      </c>
      <c r="F92" s="94" t="s">
        <v>317</v>
      </c>
      <c r="G92" s="94" t="s">
        <v>653</v>
      </c>
      <c r="H92" s="94">
        <v>500.0</v>
      </c>
      <c r="I92" s="94">
        <v>10000.0</v>
      </c>
      <c r="J92" s="94">
        <v>50.0</v>
      </c>
      <c r="K92" s="94" t="s">
        <v>702</v>
      </c>
      <c r="L92" s="94" t="s">
        <v>703</v>
      </c>
    </row>
    <row r="93">
      <c r="A93" s="82" t="s">
        <v>704</v>
      </c>
      <c r="B93" s="82" t="s">
        <v>265</v>
      </c>
      <c r="C93" s="82" t="s">
        <v>279</v>
      </c>
      <c r="D93" s="82" t="s">
        <v>243</v>
      </c>
      <c r="E93" s="82" t="s">
        <v>244</v>
      </c>
      <c r="F93" s="82" t="s">
        <v>646</v>
      </c>
      <c r="G93" s="82">
        <v>100.0</v>
      </c>
      <c r="H93" s="82">
        <v>500.0</v>
      </c>
      <c r="I93" s="82" t="s">
        <v>452</v>
      </c>
      <c r="J93" s="82">
        <v>50.0</v>
      </c>
      <c r="K93" s="82" t="s">
        <v>705</v>
      </c>
      <c r="L93" s="82" t="s">
        <v>706</v>
      </c>
    </row>
    <row r="94">
      <c r="A94" s="94" t="s">
        <v>707</v>
      </c>
      <c r="B94" s="94" t="s">
        <v>331</v>
      </c>
      <c r="C94" s="94" t="s">
        <v>279</v>
      </c>
      <c r="D94" s="94" t="s">
        <v>243</v>
      </c>
      <c r="E94" s="94" t="s">
        <v>244</v>
      </c>
      <c r="F94" s="94" t="s">
        <v>708</v>
      </c>
      <c r="G94" s="94" t="s">
        <v>567</v>
      </c>
      <c r="H94" s="94">
        <v>500.0</v>
      </c>
      <c r="I94" s="94" t="s">
        <v>647</v>
      </c>
      <c r="J94" s="94">
        <v>50.0</v>
      </c>
      <c r="K94" s="94" t="s">
        <v>709</v>
      </c>
      <c r="L94" s="94" t="s">
        <v>682</v>
      </c>
    </row>
    <row r="95">
      <c r="A95" s="80" t="s">
        <v>710</v>
      </c>
      <c r="B95" s="80" t="s">
        <v>251</v>
      </c>
      <c r="C95" s="80" t="s">
        <v>294</v>
      </c>
      <c r="D95" s="80" t="s">
        <v>253</v>
      </c>
      <c r="E95" s="80" t="s">
        <v>244</v>
      </c>
      <c r="F95" s="80" t="s">
        <v>711</v>
      </c>
      <c r="G95" s="80">
        <v>100.0</v>
      </c>
      <c r="H95" s="80">
        <v>500.0</v>
      </c>
      <c r="I95" s="80">
        <v>10000.0</v>
      </c>
      <c r="J95" s="80">
        <v>50.0</v>
      </c>
      <c r="K95" s="80" t="s">
        <v>712</v>
      </c>
      <c r="L95" s="80" t="s">
        <v>713</v>
      </c>
    </row>
    <row r="96">
      <c r="A96" s="82" t="s">
        <v>714</v>
      </c>
      <c r="B96" s="82" t="s">
        <v>265</v>
      </c>
      <c r="C96" s="82" t="s">
        <v>252</v>
      </c>
      <c r="D96" s="82" t="s">
        <v>243</v>
      </c>
      <c r="E96" s="82" t="s">
        <v>244</v>
      </c>
      <c r="F96" s="82" t="s">
        <v>350</v>
      </c>
      <c r="G96" s="82">
        <v>100.0</v>
      </c>
      <c r="H96" s="82">
        <v>500.0</v>
      </c>
      <c r="I96" s="82" t="s">
        <v>699</v>
      </c>
      <c r="J96" s="82">
        <v>50.0</v>
      </c>
      <c r="K96" s="82" t="s">
        <v>705</v>
      </c>
      <c r="L96" s="82" t="s">
        <v>700</v>
      </c>
    </row>
    <row r="97">
      <c r="A97" s="77" t="s">
        <v>715</v>
      </c>
      <c r="B97" s="77" t="s">
        <v>240</v>
      </c>
      <c r="C97" s="77" t="s">
        <v>252</v>
      </c>
      <c r="D97" s="77" t="s">
        <v>243</v>
      </c>
      <c r="E97" s="77" t="s">
        <v>244</v>
      </c>
      <c r="F97" s="77" t="s">
        <v>646</v>
      </c>
      <c r="G97" s="77">
        <v>100.0</v>
      </c>
      <c r="H97" s="77">
        <v>500.0</v>
      </c>
      <c r="I97" s="77" t="s">
        <v>647</v>
      </c>
      <c r="J97" s="77">
        <v>50.0</v>
      </c>
      <c r="K97" s="77" t="s">
        <v>716</v>
      </c>
      <c r="L97" s="77" t="s">
        <v>717</v>
      </c>
    </row>
    <row r="98">
      <c r="A98" s="96" t="s">
        <v>718</v>
      </c>
      <c r="B98" s="96" t="s">
        <v>342</v>
      </c>
      <c r="C98" s="96" t="s">
        <v>272</v>
      </c>
      <c r="D98" s="96" t="s">
        <v>243</v>
      </c>
      <c r="E98" s="96" t="s">
        <v>244</v>
      </c>
      <c r="F98" s="96" t="s">
        <v>646</v>
      </c>
      <c r="G98" s="96" t="s">
        <v>653</v>
      </c>
      <c r="H98" s="96">
        <v>500.0</v>
      </c>
      <c r="I98" s="96" t="s">
        <v>462</v>
      </c>
      <c r="J98" s="96">
        <v>50.0</v>
      </c>
      <c r="K98" s="96" t="s">
        <v>657</v>
      </c>
      <c r="L98" s="96" t="s">
        <v>719</v>
      </c>
    </row>
    <row r="99">
      <c r="A99" s="94" t="s">
        <v>720</v>
      </c>
      <c r="B99" s="94" t="s">
        <v>331</v>
      </c>
      <c r="C99" s="94" t="s">
        <v>294</v>
      </c>
      <c r="D99" s="94" t="s">
        <v>253</v>
      </c>
      <c r="E99" s="94" t="s">
        <v>244</v>
      </c>
      <c r="F99" s="94" t="s">
        <v>350</v>
      </c>
      <c r="G99" s="94" t="s">
        <v>721</v>
      </c>
      <c r="H99" s="94" t="s">
        <v>598</v>
      </c>
      <c r="I99" s="94">
        <v>10000.0</v>
      </c>
      <c r="J99" s="94">
        <v>50.0</v>
      </c>
      <c r="K99" s="94" t="s">
        <v>665</v>
      </c>
      <c r="L99" s="94" t="s">
        <v>722</v>
      </c>
    </row>
    <row r="100">
      <c r="A100" s="80" t="s">
        <v>723</v>
      </c>
      <c r="B100" s="80" t="s">
        <v>251</v>
      </c>
      <c r="C100" s="80" t="s">
        <v>241</v>
      </c>
      <c r="D100" s="80" t="s">
        <v>253</v>
      </c>
      <c r="E100" s="80" t="s">
        <v>724</v>
      </c>
      <c r="F100" s="80" t="s">
        <v>325</v>
      </c>
      <c r="G100" s="80" t="s">
        <v>653</v>
      </c>
      <c r="H100" s="80" t="s">
        <v>725</v>
      </c>
      <c r="I100" s="80">
        <v>10000.0</v>
      </c>
      <c r="J100" s="80">
        <v>50.0</v>
      </c>
      <c r="K100" s="80" t="s">
        <v>726</v>
      </c>
      <c r="L100" s="80" t="s">
        <v>727</v>
      </c>
    </row>
    <row r="101">
      <c r="A101" s="96" t="s">
        <v>728</v>
      </c>
      <c r="B101" s="96" t="s">
        <v>342</v>
      </c>
      <c r="C101" s="96" t="s">
        <v>252</v>
      </c>
      <c r="D101" s="96" t="s">
        <v>332</v>
      </c>
      <c r="E101" s="96" t="s">
        <v>244</v>
      </c>
      <c r="F101" s="96" t="s">
        <v>372</v>
      </c>
      <c r="G101" s="96" t="s">
        <v>729</v>
      </c>
      <c r="H101" s="96">
        <v>500.0</v>
      </c>
      <c r="I101" s="96" t="s">
        <v>462</v>
      </c>
      <c r="J101" s="96">
        <v>50.0</v>
      </c>
      <c r="K101" s="96" t="s">
        <v>730</v>
      </c>
      <c r="L101" s="96" t="s">
        <v>353</v>
      </c>
    </row>
    <row r="102">
      <c r="A102" s="91" t="s">
        <v>731</v>
      </c>
      <c r="B102" s="91" t="s">
        <v>293</v>
      </c>
      <c r="C102" s="91" t="s">
        <v>279</v>
      </c>
      <c r="D102" s="91" t="s">
        <v>295</v>
      </c>
      <c r="E102" s="91" t="s">
        <v>244</v>
      </c>
      <c r="F102" s="91" t="s">
        <v>711</v>
      </c>
      <c r="G102" s="91">
        <v>100.0</v>
      </c>
      <c r="H102" s="91">
        <v>500.0</v>
      </c>
      <c r="I102" s="91">
        <v>10000.0</v>
      </c>
      <c r="J102" s="91" t="s">
        <v>661</v>
      </c>
      <c r="K102" s="91" t="s">
        <v>712</v>
      </c>
      <c r="L102" s="91" t="s">
        <v>732</v>
      </c>
    </row>
    <row r="103">
      <c r="A103" s="91" t="s">
        <v>733</v>
      </c>
      <c r="B103" s="91" t="s">
        <v>293</v>
      </c>
      <c r="C103" s="91" t="s">
        <v>294</v>
      </c>
      <c r="D103" s="91" t="s">
        <v>295</v>
      </c>
      <c r="E103" s="91" t="s">
        <v>244</v>
      </c>
      <c r="F103" s="91" t="s">
        <v>646</v>
      </c>
      <c r="G103" s="91">
        <v>100.0</v>
      </c>
      <c r="H103" s="91">
        <v>500.0</v>
      </c>
      <c r="I103" s="91">
        <v>10000.0</v>
      </c>
      <c r="J103" s="91" t="s">
        <v>734</v>
      </c>
      <c r="K103" s="91" t="s">
        <v>705</v>
      </c>
      <c r="L103" s="91" t="s">
        <v>735</v>
      </c>
    </row>
    <row r="104">
      <c r="A104" s="88" t="s">
        <v>736</v>
      </c>
      <c r="B104" s="88" t="s">
        <v>286</v>
      </c>
      <c r="C104" s="88" t="s">
        <v>279</v>
      </c>
      <c r="D104" s="88" t="s">
        <v>243</v>
      </c>
      <c r="E104" s="88" t="s">
        <v>244</v>
      </c>
      <c r="F104" s="88" t="s">
        <v>646</v>
      </c>
      <c r="G104" s="88" t="s">
        <v>729</v>
      </c>
      <c r="H104" s="88">
        <v>500.0</v>
      </c>
      <c r="I104" s="88" t="s">
        <v>647</v>
      </c>
      <c r="J104" s="88">
        <v>50.0</v>
      </c>
      <c r="K104" s="88" t="s">
        <v>737</v>
      </c>
      <c r="L104" s="88" t="s">
        <v>738</v>
      </c>
    </row>
    <row r="105">
      <c r="A105" s="96" t="s">
        <v>739</v>
      </c>
      <c r="B105" s="96" t="s">
        <v>342</v>
      </c>
      <c r="C105" s="96" t="s">
        <v>294</v>
      </c>
      <c r="D105" s="96" t="s">
        <v>253</v>
      </c>
      <c r="E105" s="96" t="s">
        <v>610</v>
      </c>
      <c r="F105" s="96" t="s">
        <v>365</v>
      </c>
      <c r="G105" s="96">
        <v>100.0</v>
      </c>
      <c r="H105" s="96">
        <v>500.0</v>
      </c>
      <c r="I105" s="96">
        <v>10000.0</v>
      </c>
      <c r="J105" s="96">
        <v>50.0</v>
      </c>
      <c r="K105" s="96" t="s">
        <v>740</v>
      </c>
      <c r="L105" s="96" t="s">
        <v>541</v>
      </c>
    </row>
    <row r="106">
      <c r="A106" s="80" t="s">
        <v>741</v>
      </c>
      <c r="B106" s="80" t="s">
        <v>251</v>
      </c>
      <c r="C106" s="80" t="s">
        <v>272</v>
      </c>
      <c r="D106" s="80" t="s">
        <v>253</v>
      </c>
      <c r="E106" s="80" t="s">
        <v>742</v>
      </c>
      <c r="F106" s="80" t="s">
        <v>403</v>
      </c>
      <c r="G106" s="80" t="s">
        <v>743</v>
      </c>
      <c r="H106" s="80" t="s">
        <v>583</v>
      </c>
      <c r="I106" s="80" t="s">
        <v>528</v>
      </c>
      <c r="J106" s="80">
        <v>50.0</v>
      </c>
      <c r="K106" s="80" t="s">
        <v>716</v>
      </c>
      <c r="L106" s="80" t="s">
        <v>744</v>
      </c>
    </row>
    <row r="107">
      <c r="A107" s="88" t="s">
        <v>745</v>
      </c>
      <c r="B107" s="88" t="s">
        <v>286</v>
      </c>
      <c r="C107" s="88" t="s">
        <v>241</v>
      </c>
      <c r="D107" s="88" t="s">
        <v>253</v>
      </c>
      <c r="E107" s="88" t="s">
        <v>746</v>
      </c>
      <c r="F107" s="88" t="s">
        <v>344</v>
      </c>
      <c r="G107" s="88" t="s">
        <v>567</v>
      </c>
      <c r="H107" s="88" t="s">
        <v>427</v>
      </c>
      <c r="I107" s="88">
        <v>10000.0</v>
      </c>
      <c r="J107" s="88">
        <v>50.0</v>
      </c>
      <c r="K107" s="88" t="s">
        <v>747</v>
      </c>
      <c r="L107" s="88" t="s">
        <v>387</v>
      </c>
    </row>
    <row r="108">
      <c r="A108" s="82" t="s">
        <v>748</v>
      </c>
      <c r="B108" s="82" t="s">
        <v>265</v>
      </c>
      <c r="C108" s="82" t="s">
        <v>279</v>
      </c>
      <c r="D108" s="82" t="s">
        <v>253</v>
      </c>
      <c r="E108" s="82" t="s">
        <v>724</v>
      </c>
      <c r="F108" s="82" t="s">
        <v>317</v>
      </c>
      <c r="G108" s="82" t="s">
        <v>567</v>
      </c>
      <c r="H108" s="82" t="s">
        <v>427</v>
      </c>
      <c r="I108" s="82">
        <v>10000.0</v>
      </c>
      <c r="J108" s="82">
        <v>50.0</v>
      </c>
      <c r="K108" s="82" t="s">
        <v>749</v>
      </c>
      <c r="L108" s="82" t="s">
        <v>750</v>
      </c>
    </row>
    <row r="109">
      <c r="A109" s="88" t="s">
        <v>751</v>
      </c>
      <c r="B109" s="88" t="s">
        <v>286</v>
      </c>
      <c r="C109" s="88" t="s">
        <v>272</v>
      </c>
      <c r="D109" s="88" t="s">
        <v>752</v>
      </c>
      <c r="E109" s="88" t="s">
        <v>746</v>
      </c>
      <c r="F109" s="88" t="s">
        <v>664</v>
      </c>
      <c r="G109" s="88">
        <v>100.0</v>
      </c>
      <c r="H109" s="88" t="s">
        <v>427</v>
      </c>
      <c r="I109" s="88">
        <v>10000.0</v>
      </c>
      <c r="J109" s="88" t="s">
        <v>753</v>
      </c>
      <c r="K109" s="88" t="s">
        <v>754</v>
      </c>
      <c r="L109" s="88" t="s">
        <v>562</v>
      </c>
    </row>
    <row r="110">
      <c r="A110" s="82" t="s">
        <v>755</v>
      </c>
      <c r="B110" s="82" t="s">
        <v>265</v>
      </c>
      <c r="C110" s="82" t="s">
        <v>294</v>
      </c>
      <c r="D110" s="82" t="s">
        <v>243</v>
      </c>
      <c r="E110" s="82" t="s">
        <v>756</v>
      </c>
      <c r="F110" s="82" t="s">
        <v>403</v>
      </c>
      <c r="G110" s="82">
        <v>100.0</v>
      </c>
      <c r="H110" s="82">
        <v>500.0</v>
      </c>
      <c r="I110" s="82" t="s">
        <v>647</v>
      </c>
      <c r="J110" s="82">
        <v>50.0</v>
      </c>
      <c r="K110" s="82" t="s">
        <v>757</v>
      </c>
      <c r="L110" s="82" t="s">
        <v>682</v>
      </c>
    </row>
    <row r="111">
      <c r="A111" s="80" t="s">
        <v>758</v>
      </c>
      <c r="B111" s="80" t="s">
        <v>251</v>
      </c>
      <c r="C111" s="80" t="s">
        <v>241</v>
      </c>
      <c r="D111" s="80" t="s">
        <v>642</v>
      </c>
      <c r="E111" s="80" t="s">
        <v>759</v>
      </c>
      <c r="F111" s="80" t="s">
        <v>350</v>
      </c>
      <c r="G111" s="80" t="s">
        <v>729</v>
      </c>
      <c r="H111" s="80">
        <v>500.0</v>
      </c>
      <c r="I111" s="80">
        <v>10000.0</v>
      </c>
      <c r="J111" s="80">
        <v>50.0</v>
      </c>
      <c r="K111" s="80" t="s">
        <v>760</v>
      </c>
      <c r="L111" s="80" t="s">
        <v>761</v>
      </c>
    </row>
    <row r="112">
      <c r="A112" s="82" t="s">
        <v>762</v>
      </c>
      <c r="B112" s="82" t="s">
        <v>265</v>
      </c>
      <c r="C112" s="82" t="s">
        <v>272</v>
      </c>
      <c r="D112" s="82" t="s">
        <v>253</v>
      </c>
      <c r="E112" s="82" t="s">
        <v>763</v>
      </c>
      <c r="F112" s="82" t="s">
        <v>664</v>
      </c>
      <c r="G112" s="82" t="s">
        <v>567</v>
      </c>
      <c r="H112" s="82" t="s">
        <v>598</v>
      </c>
      <c r="I112" s="82">
        <v>10000.0</v>
      </c>
      <c r="J112" s="82">
        <v>50.0</v>
      </c>
      <c r="K112" s="82" t="s">
        <v>764</v>
      </c>
      <c r="L112" s="82" t="s">
        <v>765</v>
      </c>
    </row>
    <row r="113">
      <c r="A113" s="91" t="s">
        <v>766</v>
      </c>
      <c r="B113" s="91" t="s">
        <v>293</v>
      </c>
      <c r="C113" s="91" t="s">
        <v>272</v>
      </c>
      <c r="D113" s="91" t="s">
        <v>295</v>
      </c>
      <c r="E113" s="91" t="s">
        <v>356</v>
      </c>
      <c r="F113" s="91" t="s">
        <v>767</v>
      </c>
      <c r="G113" s="91">
        <v>100.0</v>
      </c>
      <c r="H113" s="91">
        <v>500.0</v>
      </c>
      <c r="I113" s="91">
        <v>10000.0</v>
      </c>
      <c r="J113" s="91" t="s">
        <v>768</v>
      </c>
      <c r="K113" s="91" t="s">
        <v>769</v>
      </c>
      <c r="L113" s="91" t="s">
        <v>770</v>
      </c>
    </row>
    <row r="114">
      <c r="A114" s="88" t="s">
        <v>771</v>
      </c>
      <c r="B114" s="88" t="s">
        <v>286</v>
      </c>
      <c r="C114" s="88" t="s">
        <v>252</v>
      </c>
      <c r="D114" s="88" t="s">
        <v>253</v>
      </c>
      <c r="E114" s="88" t="s">
        <v>244</v>
      </c>
      <c r="F114" s="88" t="s">
        <v>772</v>
      </c>
      <c r="G114" s="88">
        <v>100.0</v>
      </c>
      <c r="H114" s="88">
        <v>500.0</v>
      </c>
      <c r="I114" s="88">
        <v>10000.0</v>
      </c>
      <c r="J114" s="88">
        <v>50.0</v>
      </c>
      <c r="K114" s="88" t="s">
        <v>636</v>
      </c>
      <c r="L114" s="88" t="s">
        <v>773</v>
      </c>
    </row>
    <row r="115">
      <c r="A115" s="96" t="s">
        <v>774</v>
      </c>
      <c r="B115" s="96" t="s">
        <v>342</v>
      </c>
      <c r="C115" s="96" t="s">
        <v>294</v>
      </c>
      <c r="D115" s="96" t="s">
        <v>253</v>
      </c>
      <c r="E115" s="96" t="s">
        <v>746</v>
      </c>
      <c r="F115" s="96" t="s">
        <v>344</v>
      </c>
      <c r="G115" s="96" t="s">
        <v>567</v>
      </c>
      <c r="H115" s="96" t="s">
        <v>427</v>
      </c>
      <c r="I115" s="96">
        <v>10000.0</v>
      </c>
      <c r="J115" s="96">
        <v>50.0</v>
      </c>
      <c r="K115" s="96" t="s">
        <v>629</v>
      </c>
      <c r="L115" s="96" t="s">
        <v>608</v>
      </c>
    </row>
    <row r="116">
      <c r="A116" s="91" t="s">
        <v>775</v>
      </c>
      <c r="B116" s="91" t="s">
        <v>293</v>
      </c>
      <c r="C116" s="91" t="s">
        <v>241</v>
      </c>
      <c r="D116" s="91" t="s">
        <v>253</v>
      </c>
      <c r="E116" s="91" t="s">
        <v>724</v>
      </c>
      <c r="F116" s="91" t="s">
        <v>325</v>
      </c>
      <c r="G116" s="91">
        <v>100.0</v>
      </c>
      <c r="H116" s="91" t="s">
        <v>427</v>
      </c>
      <c r="I116" s="91">
        <v>10000.0</v>
      </c>
      <c r="J116" s="91">
        <v>50.0</v>
      </c>
      <c r="K116" s="91" t="s">
        <v>776</v>
      </c>
      <c r="L116" s="91" t="s">
        <v>448</v>
      </c>
    </row>
    <row r="117">
      <c r="A117" s="77" t="s">
        <v>777</v>
      </c>
      <c r="B117" s="77" t="s">
        <v>240</v>
      </c>
      <c r="C117" s="77" t="s">
        <v>252</v>
      </c>
      <c r="D117" s="77" t="s">
        <v>253</v>
      </c>
      <c r="E117" s="77" t="s">
        <v>724</v>
      </c>
      <c r="F117" s="77" t="s">
        <v>778</v>
      </c>
      <c r="G117" s="77">
        <v>100.0</v>
      </c>
      <c r="H117" s="77" t="s">
        <v>505</v>
      </c>
      <c r="I117" s="77">
        <v>10000.0</v>
      </c>
      <c r="J117" s="77">
        <v>50.0</v>
      </c>
      <c r="K117" s="77" t="s">
        <v>712</v>
      </c>
      <c r="L117" s="77" t="s">
        <v>779</v>
      </c>
    </row>
    <row r="118">
      <c r="A118" s="96" t="s">
        <v>780</v>
      </c>
      <c r="B118" s="96" t="s">
        <v>342</v>
      </c>
      <c r="C118" s="96" t="s">
        <v>272</v>
      </c>
      <c r="D118" s="96" t="s">
        <v>253</v>
      </c>
      <c r="E118" s="96" t="s">
        <v>781</v>
      </c>
      <c r="F118" s="96" t="s">
        <v>782</v>
      </c>
      <c r="G118" s="96" t="s">
        <v>567</v>
      </c>
      <c r="H118" s="96" t="s">
        <v>783</v>
      </c>
      <c r="I118" s="96">
        <v>10000.0</v>
      </c>
      <c r="J118" s="96">
        <v>50.0</v>
      </c>
      <c r="K118" s="96" t="s">
        <v>712</v>
      </c>
      <c r="L118" s="96" t="s">
        <v>541</v>
      </c>
    </row>
    <row r="119">
      <c r="A119" s="88" t="s">
        <v>784</v>
      </c>
      <c r="B119" s="88" t="s">
        <v>286</v>
      </c>
      <c r="C119" s="88" t="s">
        <v>279</v>
      </c>
      <c r="D119" s="88" t="s">
        <v>253</v>
      </c>
      <c r="E119" s="88" t="s">
        <v>785</v>
      </c>
      <c r="F119" s="88" t="s">
        <v>786</v>
      </c>
      <c r="G119" s="88" t="s">
        <v>567</v>
      </c>
      <c r="H119" s="88" t="s">
        <v>505</v>
      </c>
      <c r="I119" s="88" t="s">
        <v>528</v>
      </c>
      <c r="J119" s="88">
        <v>50.0</v>
      </c>
      <c r="K119" s="88" t="s">
        <v>787</v>
      </c>
      <c r="L119" s="88" t="s">
        <v>788</v>
      </c>
    </row>
    <row r="120">
      <c r="A120" s="96" t="s">
        <v>789</v>
      </c>
      <c r="B120" s="96" t="s">
        <v>342</v>
      </c>
      <c r="C120" s="96" t="s">
        <v>272</v>
      </c>
      <c r="D120" s="96" t="s">
        <v>253</v>
      </c>
      <c r="E120" s="96" t="s">
        <v>790</v>
      </c>
      <c r="F120" s="96" t="s">
        <v>344</v>
      </c>
      <c r="G120" s="96">
        <v>100.0</v>
      </c>
      <c r="H120" s="96" t="s">
        <v>258</v>
      </c>
      <c r="I120" s="96">
        <v>10000.0</v>
      </c>
      <c r="J120" s="96">
        <v>50.0</v>
      </c>
      <c r="K120" s="96" t="s">
        <v>791</v>
      </c>
      <c r="L120" s="96" t="s">
        <v>792</v>
      </c>
    </row>
    <row r="121">
      <c r="A121" s="77" t="s">
        <v>793</v>
      </c>
      <c r="B121" s="77" t="s">
        <v>240</v>
      </c>
      <c r="C121" s="77" t="s">
        <v>241</v>
      </c>
      <c r="D121" s="77" t="s">
        <v>243</v>
      </c>
      <c r="E121" s="77" t="s">
        <v>244</v>
      </c>
      <c r="F121" s="77" t="s">
        <v>403</v>
      </c>
      <c r="G121" s="77" t="s">
        <v>729</v>
      </c>
      <c r="H121" s="77">
        <v>500.0</v>
      </c>
      <c r="I121" s="77" t="s">
        <v>647</v>
      </c>
      <c r="J121" s="77">
        <v>50.0</v>
      </c>
      <c r="K121" s="77" t="s">
        <v>737</v>
      </c>
      <c r="L121" s="77" t="s">
        <v>794</v>
      </c>
    </row>
    <row r="122">
      <c r="A122" s="96" t="s">
        <v>795</v>
      </c>
      <c r="B122" s="96" t="s">
        <v>342</v>
      </c>
      <c r="C122" s="96" t="s">
        <v>241</v>
      </c>
      <c r="D122" s="96" t="s">
        <v>253</v>
      </c>
      <c r="E122" s="96" t="s">
        <v>724</v>
      </c>
      <c r="F122" s="96" t="s">
        <v>796</v>
      </c>
      <c r="G122" s="96" t="s">
        <v>797</v>
      </c>
      <c r="H122" s="96" t="s">
        <v>583</v>
      </c>
      <c r="I122" s="96">
        <v>10000.0</v>
      </c>
      <c r="J122" s="96">
        <v>50.0</v>
      </c>
      <c r="K122" s="96" t="s">
        <v>737</v>
      </c>
      <c r="L122" s="96" t="s">
        <v>375</v>
      </c>
    </row>
    <row r="123">
      <c r="A123" s="82" t="s">
        <v>798</v>
      </c>
      <c r="B123" s="82" t="s">
        <v>265</v>
      </c>
      <c r="C123" s="82" t="s">
        <v>252</v>
      </c>
      <c r="D123" s="82" t="s">
        <v>253</v>
      </c>
      <c r="E123" s="82" t="s">
        <v>724</v>
      </c>
      <c r="F123" s="82" t="s">
        <v>799</v>
      </c>
      <c r="G123" s="82" t="s">
        <v>567</v>
      </c>
      <c r="H123" s="82" t="s">
        <v>800</v>
      </c>
      <c r="I123" s="82">
        <v>10000.0</v>
      </c>
      <c r="J123" s="82">
        <v>50.0</v>
      </c>
      <c r="K123" s="82" t="s">
        <v>801</v>
      </c>
      <c r="L123" s="82" t="s">
        <v>765</v>
      </c>
    </row>
    <row r="124">
      <c r="A124" s="88" t="s">
        <v>802</v>
      </c>
      <c r="B124" s="88" t="s">
        <v>286</v>
      </c>
      <c r="C124" s="88" t="s">
        <v>294</v>
      </c>
      <c r="D124" s="88" t="s">
        <v>253</v>
      </c>
      <c r="E124" s="88" t="s">
        <v>803</v>
      </c>
      <c r="F124" s="88" t="s">
        <v>403</v>
      </c>
      <c r="G124" s="88" t="s">
        <v>804</v>
      </c>
      <c r="H124" s="88" t="s">
        <v>725</v>
      </c>
      <c r="I124" s="88">
        <v>10000.0</v>
      </c>
      <c r="J124" s="88">
        <v>50.0</v>
      </c>
      <c r="K124" s="88" t="s">
        <v>805</v>
      </c>
      <c r="L124" s="88" t="s">
        <v>328</v>
      </c>
    </row>
  </sheetData>
  <mergeCells count="121">
    <mergeCell ref="A1:M1"/>
    <mergeCell ref="L2:M2"/>
    <mergeCell ref="L3:M3"/>
    <mergeCell ref="L4:M4"/>
    <mergeCell ref="L5:M5"/>
    <mergeCell ref="L6:M6"/>
    <mergeCell ref="L7:M7"/>
    <mergeCell ref="L8:M8"/>
    <mergeCell ref="L9:M9"/>
    <mergeCell ref="L10:M10"/>
    <mergeCell ref="L11:M11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L26:M26"/>
    <mergeCell ref="L27:M27"/>
    <mergeCell ref="L28:M28"/>
    <mergeCell ref="L29:M29"/>
    <mergeCell ref="L30:M30"/>
    <mergeCell ref="L31:M31"/>
    <mergeCell ref="L32:M32"/>
    <mergeCell ref="L33:M33"/>
    <mergeCell ref="L34:M34"/>
    <mergeCell ref="L35:M35"/>
    <mergeCell ref="L36:M36"/>
    <mergeCell ref="L37:M37"/>
    <mergeCell ref="L38:M38"/>
    <mergeCell ref="L39:M39"/>
    <mergeCell ref="L40:M40"/>
    <mergeCell ref="L41:M41"/>
    <mergeCell ref="L42:M42"/>
    <mergeCell ref="L43:M43"/>
    <mergeCell ref="L44:M44"/>
    <mergeCell ref="L45:M45"/>
    <mergeCell ref="L46:M46"/>
    <mergeCell ref="L47:M47"/>
    <mergeCell ref="L48:M48"/>
    <mergeCell ref="L49:M49"/>
    <mergeCell ref="L50:M50"/>
    <mergeCell ref="L102:M102"/>
    <mergeCell ref="L103:M103"/>
    <mergeCell ref="L104:M104"/>
    <mergeCell ref="L105:M105"/>
    <mergeCell ref="L106:M106"/>
    <mergeCell ref="L107:M107"/>
    <mergeCell ref="L108:M108"/>
    <mergeCell ref="L109:M109"/>
    <mergeCell ref="L110:M110"/>
    <mergeCell ref="L111:M111"/>
    <mergeCell ref="L112:M112"/>
    <mergeCell ref="L113:M113"/>
    <mergeCell ref="L114:M114"/>
    <mergeCell ref="L115:M115"/>
    <mergeCell ref="L123:M123"/>
    <mergeCell ref="L124:M124"/>
    <mergeCell ref="L116:M116"/>
    <mergeCell ref="L117:M117"/>
    <mergeCell ref="L118:M118"/>
    <mergeCell ref="L119:M119"/>
    <mergeCell ref="L120:M120"/>
    <mergeCell ref="L121:M121"/>
    <mergeCell ref="L122:M122"/>
    <mergeCell ref="L51:M51"/>
    <mergeCell ref="L52:M52"/>
    <mergeCell ref="L53:M53"/>
    <mergeCell ref="L54:M54"/>
    <mergeCell ref="L55:M55"/>
    <mergeCell ref="L56:M56"/>
    <mergeCell ref="L57:M57"/>
    <mergeCell ref="L58:M58"/>
    <mergeCell ref="L59:M59"/>
    <mergeCell ref="L60:M60"/>
    <mergeCell ref="L61:M61"/>
    <mergeCell ref="L62:M62"/>
    <mergeCell ref="L63:M63"/>
    <mergeCell ref="L64:M64"/>
    <mergeCell ref="L65:M65"/>
    <mergeCell ref="L66:M66"/>
    <mergeCell ref="L67:M67"/>
    <mergeCell ref="L68:M68"/>
    <mergeCell ref="L69:M69"/>
    <mergeCell ref="A72:M72"/>
    <mergeCell ref="L73:M73"/>
    <mergeCell ref="L74:M74"/>
    <mergeCell ref="L75:M75"/>
    <mergeCell ref="L76:M76"/>
    <mergeCell ref="L77:M77"/>
    <mergeCell ref="L78:M78"/>
    <mergeCell ref="L79:M79"/>
    <mergeCell ref="L80:M80"/>
    <mergeCell ref="L81:M81"/>
    <mergeCell ref="L82:M82"/>
    <mergeCell ref="L83:M83"/>
    <mergeCell ref="L84:M84"/>
    <mergeCell ref="L85:M85"/>
    <mergeCell ref="L86:M86"/>
    <mergeCell ref="L87:M87"/>
    <mergeCell ref="L88:M88"/>
    <mergeCell ref="L89:M89"/>
    <mergeCell ref="L90:M90"/>
    <mergeCell ref="L91:M91"/>
    <mergeCell ref="L92:M92"/>
    <mergeCell ref="L93:M93"/>
    <mergeCell ref="L94:M94"/>
    <mergeCell ref="L95:M95"/>
    <mergeCell ref="L96:M96"/>
    <mergeCell ref="L97:M97"/>
    <mergeCell ref="L98:M98"/>
    <mergeCell ref="L99:M99"/>
    <mergeCell ref="L100:M100"/>
    <mergeCell ref="L101:M101"/>
  </mergeCells>
  <drawing r:id="rId1"/>
</worksheet>
</file>